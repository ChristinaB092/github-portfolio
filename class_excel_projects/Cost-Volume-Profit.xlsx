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defaultThemeVersion="166925"/>
  <mc:AlternateContent xmlns:mc="http://schemas.openxmlformats.org/markup-compatibility/2006">
    <mc:Choice Requires="x15">
      <x15ac:absPath xmlns:x15ac="http://schemas.microsoft.com/office/spreadsheetml/2010/11/ac" url="C:\Users\Chris\Downloads\"/>
    </mc:Choice>
  </mc:AlternateContent>
  <xr:revisionPtr revIDLastSave="0" documentId="13_ncr:1_{C22FAE1F-BB8B-407A-B8DA-9C5D36F02928}" xr6:coauthVersionLast="47" xr6:coauthVersionMax="47" xr10:uidLastSave="{00000000-0000-0000-0000-000000000000}"/>
  <bookViews>
    <workbookView xWindow="-98" yWindow="-98" windowWidth="20715" windowHeight="13155" activeTab="1" xr2:uid="{00000000-000D-0000-FFFF-FFFF00000000}"/>
  </bookViews>
  <sheets>
    <sheet name="Instructions" sheetId="2" r:id="rId1"/>
    <sheet name="CVP" sheetId="5" r:id="rId2"/>
    <sheet name="Sheet1" sheetId="3" state="hidden" r:id="rId3"/>
  </sheets>
  <definedNames>
    <definedName name="BE">CVP!$BB$3</definedName>
    <definedName name="BE_units">CVP!$BA$3</definedName>
    <definedName name="CM_per">CVP!$AX$3</definedName>
    <definedName name="CM_ratio">CVP!$AW$3</definedName>
    <definedName name="Company">CVP!$AI$1</definedName>
    <definedName name="Conv___EI">CVP!$BF$3</definedName>
    <definedName name="Cost___per">CVP!$AT$3</definedName>
    <definedName name="Current_units">CVP!$AY$3</definedName>
    <definedName name="First">CVP!$AG$1</definedName>
    <definedName name="Fixed">CVP!$AU$3</definedName>
    <definedName name="Mtls___EI">CVP!$BE$3</definedName>
    <definedName name="Net_Income">CVP!$AZ$3</definedName>
    <definedName name="Sell___per">CVP!$AS$3</definedName>
    <definedName name="Target_Pre">CVP!$AV$3</definedName>
    <definedName name="Target_Sales">CVP!$BD$3</definedName>
    <definedName name="Target_units">CVP!$BC$3</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 i="5" l="1"/>
  <c r="E20" i="5"/>
  <c r="E16" i="5"/>
  <c r="E15" i="5"/>
  <c r="BC5" i="5"/>
  <c r="K21" i="5"/>
  <c r="K20" i="5"/>
  <c r="AX5" i="5"/>
  <c r="AT5" i="5" s="1"/>
  <c r="BA5" i="5"/>
  <c r="AU5" i="5" s="1"/>
  <c r="AS6" i="5"/>
  <c r="AX6" i="5" s="1"/>
  <c r="AY6" i="5"/>
  <c r="BA6" i="5" s="1"/>
  <c r="BB6" i="5" s="1"/>
  <c r="AW18" i="5"/>
  <c r="AW25" i="5" s="1"/>
  <c r="AW32" i="5" s="1"/>
  <c r="AW17" i="5"/>
  <c r="AW24" i="5" s="1"/>
  <c r="AW31" i="5" s="1"/>
  <c r="AW16" i="5"/>
  <c r="AW23" i="5" s="1"/>
  <c r="AW30" i="5" s="1"/>
  <c r="AW15" i="5"/>
  <c r="AW22" i="5" s="1"/>
  <c r="AW29" i="5" s="1"/>
  <c r="AW14" i="5"/>
  <c r="AW21" i="5" s="1"/>
  <c r="AW28" i="5" s="1"/>
  <c r="AW13" i="5"/>
  <c r="AW20" i="5" s="1"/>
  <c r="AW27" i="5" s="1"/>
  <c r="AW12" i="5"/>
  <c r="AW19" i="5" s="1"/>
  <c r="AW26" i="5" s="1"/>
  <c r="BC6" i="5" l="1"/>
  <c r="AZ5" i="5"/>
  <c r="BB5" i="5"/>
  <c r="AT6" i="5"/>
  <c r="AU6" i="5"/>
  <c r="AZ6" i="5" s="1"/>
  <c r="AY7" i="5"/>
  <c r="AS7" i="5"/>
  <c r="AX7" i="5" s="1"/>
  <c r="AY8" i="5" l="1"/>
  <c r="BC7" i="5"/>
  <c r="BD5" i="5"/>
  <c r="AV5" i="5"/>
  <c r="BD6" i="5"/>
  <c r="AV6" i="5"/>
  <c r="AT7" i="5"/>
  <c r="BA7" i="5"/>
  <c r="AU7" i="5" s="1"/>
  <c r="AZ7" i="5" s="1"/>
  <c r="BA8" i="5"/>
  <c r="AS8" i="5"/>
  <c r="AX8" i="5" s="1"/>
  <c r="AA21" i="5"/>
  <c r="Z21" i="5"/>
  <c r="Y21" i="5"/>
  <c r="X21" i="5"/>
  <c r="V21" i="5"/>
  <c r="U21" i="5"/>
  <c r="AA20" i="5"/>
  <c r="Z20" i="5"/>
  <c r="Y20" i="5"/>
  <c r="X20" i="5"/>
  <c r="V20" i="5"/>
  <c r="U20" i="5"/>
  <c r="AB13" i="5"/>
  <c r="AY9" i="5" l="1"/>
  <c r="BC8" i="5"/>
  <c r="BD8" i="5" s="1"/>
  <c r="BB7" i="5"/>
  <c r="AV7" i="5"/>
  <c r="BB8" i="5"/>
  <c r="AS9" i="5"/>
  <c r="AU8" i="5"/>
  <c r="AZ8" i="5" s="1"/>
  <c r="AT8" i="5"/>
  <c r="BT33" i="5"/>
  <c r="AS10" i="5" l="1"/>
  <c r="AY10" i="5"/>
  <c r="BC9" i="5"/>
  <c r="BD9" i="5" s="1"/>
  <c r="BA9" i="5"/>
  <c r="BB9" i="5" s="1"/>
  <c r="AX9" i="5"/>
  <c r="BD7" i="5"/>
  <c r="AS11" i="5"/>
  <c r="AX10" i="5"/>
  <c r="AT10" i="5" s="1"/>
  <c r="AV8" i="5"/>
  <c r="BU33" i="5"/>
  <c r="BV33" i="5" s="1"/>
  <c r="BW33" i="5" s="1"/>
  <c r="BX33" i="5" s="1"/>
  <c r="BY33" i="5" s="1"/>
  <c r="BZ33" i="5" s="1"/>
  <c r="CA33" i="5" s="1"/>
  <c r="CB33" i="5" s="1"/>
  <c r="CC33" i="5" s="1"/>
  <c r="CD33" i="5" s="1"/>
  <c r="CE33" i="5" s="1"/>
  <c r="CF33" i="5" s="1"/>
  <c r="CG33" i="5" s="1"/>
  <c r="CH33" i="5" s="1"/>
  <c r="CI33" i="5" s="1"/>
  <c r="CJ33" i="5" s="1"/>
  <c r="CK33" i="5" s="1"/>
  <c r="CL33" i="5" s="1"/>
  <c r="CM33" i="5" s="1"/>
  <c r="CN33" i="5" s="1"/>
  <c r="CO33" i="5" s="1"/>
  <c r="CP33" i="5" s="1"/>
  <c r="CQ33" i="5" s="1"/>
  <c r="CR33" i="5" s="1"/>
  <c r="CS33" i="5" s="1"/>
  <c r="CT33" i="5" s="1"/>
  <c r="CU33" i="5" s="1"/>
  <c r="CV33" i="5" s="1"/>
  <c r="CW33" i="5" s="1"/>
  <c r="CX33" i="5" s="1"/>
  <c r="CY33" i="5" s="1"/>
  <c r="CZ33" i="5" s="1"/>
  <c r="DA33" i="5" s="1"/>
  <c r="DB33" i="5" s="1"/>
  <c r="DC33" i="5" s="1"/>
  <c r="DD33" i="5" s="1"/>
  <c r="DE33" i="5" s="1"/>
  <c r="AU9" i="5" l="1"/>
  <c r="AZ9" i="5" s="1"/>
  <c r="AY11" i="5"/>
  <c r="BC10" i="5"/>
  <c r="BD10" i="5" s="1"/>
  <c r="BA10" i="5"/>
  <c r="BB10" i="5" s="1"/>
  <c r="AV9" i="5"/>
  <c r="AT9" i="5"/>
  <c r="AX11" i="5"/>
  <c r="AT11" i="5" s="1"/>
  <c r="AS12" i="5"/>
  <c r="B20" i="2"/>
  <c r="E20" i="2"/>
  <c r="D20" i="2"/>
  <c r="C20" i="2"/>
  <c r="AU10" i="5" l="1"/>
  <c r="AZ10" i="5" s="1"/>
  <c r="AV10" i="5"/>
  <c r="AY12" i="5"/>
  <c r="BC11" i="5"/>
  <c r="BD11" i="5" s="1"/>
  <c r="BA11" i="5"/>
  <c r="BB11" i="5" s="1"/>
  <c r="AX12" i="5"/>
  <c r="AS13" i="5"/>
  <c r="AR3" i="5"/>
  <c r="AU33" i="5"/>
  <c r="AV33" i="5" s="1"/>
  <c r="AW33" i="5" s="1"/>
  <c r="AX33" i="5" s="1"/>
  <c r="AY33" i="5" s="1"/>
  <c r="AZ33" i="5" s="1"/>
  <c r="BA33" i="5" s="1"/>
  <c r="BB33" i="5" s="1"/>
  <c r="BC33" i="5" s="1"/>
  <c r="BD33" i="5" s="1"/>
  <c r="BE33" i="5" s="1"/>
  <c r="BF33" i="5" s="1"/>
  <c r="BG33" i="5" s="1"/>
  <c r="BH33" i="5" s="1"/>
  <c r="BI33" i="5" s="1"/>
  <c r="BJ33" i="5" s="1"/>
  <c r="BK33" i="5" s="1"/>
  <c r="BL33" i="5" s="1"/>
  <c r="BM33" i="5" s="1"/>
  <c r="BN33" i="5" s="1"/>
  <c r="BO33" i="5" s="1"/>
  <c r="BP33" i="5" s="1"/>
  <c r="BQ33" i="5" s="1"/>
  <c r="AU11" i="5" l="1"/>
  <c r="AZ11" i="5" s="1"/>
  <c r="AY13" i="5"/>
  <c r="BC12" i="5"/>
  <c r="BD12" i="5" s="1"/>
  <c r="BA12" i="5"/>
  <c r="BB12" i="5" s="1"/>
  <c r="AX13" i="5"/>
  <c r="AT13" i="5" s="1"/>
  <c r="AS14" i="5"/>
  <c r="AT12" i="5"/>
  <c r="AI1" i="5"/>
  <c r="A3" i="5" s="1"/>
  <c r="AG1" i="5"/>
  <c r="AU12" i="5" l="1"/>
  <c r="AZ12" i="5" s="1"/>
  <c r="AV11" i="5"/>
  <c r="AY14" i="5"/>
  <c r="BC13" i="5"/>
  <c r="BD13" i="5" s="1"/>
  <c r="BA13" i="5"/>
  <c r="BB13" i="5" s="1"/>
  <c r="AV12" i="5"/>
  <c r="AX14" i="5"/>
  <c r="AS15" i="5"/>
  <c r="AA16" i="5"/>
  <c r="Z16" i="5"/>
  <c r="Y16" i="5"/>
  <c r="X16" i="5"/>
  <c r="AA15" i="5"/>
  <c r="Z15" i="5"/>
  <c r="Y15" i="5"/>
  <c r="X15" i="5"/>
  <c r="AU13" i="5" l="1"/>
  <c r="AV13" i="5" s="1"/>
  <c r="BC14" i="5"/>
  <c r="BD14" i="5" s="1"/>
  <c r="BA14" i="5"/>
  <c r="BB14" i="5" s="1"/>
  <c r="AY15" i="5"/>
  <c r="AS16" i="5"/>
  <c r="AX15" i="5"/>
  <c r="AT15" i="5" s="1"/>
  <c r="AZ13" i="5"/>
  <c r="AU14" i="5"/>
  <c r="AZ14" i="5" s="1"/>
  <c r="AT14" i="5"/>
  <c r="AA23" i="5"/>
  <c r="BC15" i="5" l="1"/>
  <c r="BD15" i="5" s="1"/>
  <c r="AY16" i="5"/>
  <c r="BA15" i="5"/>
  <c r="BB15" i="5" s="1"/>
  <c r="AV14" i="5"/>
  <c r="AX16" i="5"/>
  <c r="AT16" i="5" s="1"/>
  <c r="AS17" i="5"/>
  <c r="B2" i="3"/>
  <c r="AU15" i="5" l="1"/>
  <c r="AZ15" i="5" s="1"/>
  <c r="BC16" i="5"/>
  <c r="BD16" i="5" s="1"/>
  <c r="AY17" i="5"/>
  <c r="BA16" i="5"/>
  <c r="BB16" i="5" s="1"/>
  <c r="AV15" i="5"/>
  <c r="AS18" i="5"/>
  <c r="AX17" i="5"/>
  <c r="AT17" i="5" s="1"/>
  <c r="BH3" i="5"/>
  <c r="C2" i="3"/>
  <c r="AU16" i="5" l="1"/>
  <c r="AV16" i="5" s="1"/>
  <c r="BC17" i="5"/>
  <c r="BD17" i="5" s="1"/>
  <c r="BA17" i="5"/>
  <c r="BB17" i="5" s="1"/>
  <c r="AY18" i="5"/>
  <c r="AZ16" i="5"/>
  <c r="AS19" i="5"/>
  <c r="AX18" i="5"/>
  <c r="AT18" i="5" s="1"/>
  <c r="AU17" i="5" l="1"/>
  <c r="AZ17" i="5" s="1"/>
  <c r="BC18" i="5"/>
  <c r="BD18" i="5" s="1"/>
  <c r="BA18" i="5"/>
  <c r="BB18" i="5" s="1"/>
  <c r="AY19" i="5"/>
  <c r="AV17" i="5"/>
  <c r="AS20" i="5"/>
  <c r="AX19" i="5"/>
  <c r="AT19" i="5" s="1"/>
  <c r="V15" i="5"/>
  <c r="AU18" i="5" l="1"/>
  <c r="AZ18" i="5" s="1"/>
  <c r="BC19" i="5"/>
  <c r="BD19" i="5" s="1"/>
  <c r="BA19" i="5"/>
  <c r="BB19" i="5" s="1"/>
  <c r="AY20" i="5"/>
  <c r="AV18" i="5"/>
  <c r="AS21" i="5"/>
  <c r="AX20" i="5"/>
  <c r="AT20" i="5" s="1"/>
  <c r="AS3" i="5"/>
  <c r="D6" i="5" s="1"/>
  <c r="BM3" i="5"/>
  <c r="BC3" i="5"/>
  <c r="AU19" i="5" l="1"/>
  <c r="AZ19" i="5" s="1"/>
  <c r="BC20" i="5"/>
  <c r="BD20" i="5" s="1"/>
  <c r="AY21" i="5"/>
  <c r="BA20" i="5"/>
  <c r="BB20" i="5" s="1"/>
  <c r="AV19" i="5"/>
  <c r="AS22" i="5"/>
  <c r="AX21" i="5"/>
  <c r="AX3" i="5"/>
  <c r="AW3" i="5"/>
  <c r="BA3" i="5"/>
  <c r="AL15" i="5" s="1"/>
  <c r="Q15" i="5" s="1"/>
  <c r="U15" i="5"/>
  <c r="BC21" i="5" l="1"/>
  <c r="BD21" i="5" s="1"/>
  <c r="AY22" i="5"/>
  <c r="BA21" i="5"/>
  <c r="BB21" i="5" s="1"/>
  <c r="AU20" i="5"/>
  <c r="AV20" i="5" s="1"/>
  <c r="AT21" i="5"/>
  <c r="AX22" i="5"/>
  <c r="AS23" i="5"/>
  <c r="BL3" i="5"/>
  <c r="BG3" i="5"/>
  <c r="AV3" i="5"/>
  <c r="E19" i="5" s="1"/>
  <c r="AT3" i="5"/>
  <c r="AY3" i="5"/>
  <c r="BJ3" i="5"/>
  <c r="BE3" i="5"/>
  <c r="AU3" i="5"/>
  <c r="E9" i="5" s="1"/>
  <c r="BB3" i="5"/>
  <c r="AL16" i="5" s="1"/>
  <c r="Q16" i="5" s="1"/>
  <c r="U16" i="5"/>
  <c r="AU21" i="5" l="1"/>
  <c r="AZ21" i="5" s="1"/>
  <c r="AZ20" i="5"/>
  <c r="AZ3" i="5" s="1"/>
  <c r="B21" i="5"/>
  <c r="B20" i="5"/>
  <c r="BC22" i="5"/>
  <c r="BD22" i="5" s="1"/>
  <c r="BA22" i="5"/>
  <c r="BB22" i="5" s="1"/>
  <c r="AY23" i="5"/>
  <c r="AL20" i="5"/>
  <c r="D7" i="5"/>
  <c r="C6" i="5"/>
  <c r="AV21" i="5"/>
  <c r="AX23" i="5"/>
  <c r="AT23" i="5" s="1"/>
  <c r="AS24" i="5"/>
  <c r="AU22" i="5"/>
  <c r="AV22" i="5" s="1"/>
  <c r="AT22" i="5"/>
  <c r="BI3" i="5"/>
  <c r="BD3" i="5"/>
  <c r="BQ3" i="5"/>
  <c r="BK3" i="5"/>
  <c r="BF3" i="5"/>
  <c r="BO3" i="5"/>
  <c r="BC23" i="5" l="1"/>
  <c r="BD23" i="5" s="1"/>
  <c r="AY24" i="5"/>
  <c r="BA23" i="5"/>
  <c r="BB23" i="5" s="1"/>
  <c r="AL21" i="5"/>
  <c r="Q20" i="5"/>
  <c r="E6" i="5"/>
  <c r="C7" i="5"/>
  <c r="E7" i="5" s="1"/>
  <c r="AZ22" i="5"/>
  <c r="AX24" i="5"/>
  <c r="AT24" i="5" s="1"/>
  <c r="AS25" i="5"/>
  <c r="AU23" i="5"/>
  <c r="AV23" i="5" s="1"/>
  <c r="K16" i="5"/>
  <c r="BP3" i="5"/>
  <c r="BC24" i="5" l="1"/>
  <c r="BD24" i="5" s="1"/>
  <c r="AY25" i="5"/>
  <c r="BA24" i="5"/>
  <c r="BB24" i="5" s="1"/>
  <c r="E8" i="5"/>
  <c r="E10" i="5" s="1"/>
  <c r="Q21" i="5"/>
  <c r="AZ23" i="5"/>
  <c r="AX25" i="5"/>
  <c r="AT25" i="5" s="1"/>
  <c r="AS26" i="5"/>
  <c r="BN3" i="5"/>
  <c r="V16" i="5"/>
  <c r="AU24" i="5" l="1"/>
  <c r="AV24" i="5" s="1"/>
  <c r="BC25" i="5"/>
  <c r="BD25" i="5" s="1"/>
  <c r="BA25" i="5"/>
  <c r="BB25" i="5" s="1"/>
  <c r="AY26" i="5"/>
  <c r="AZ24" i="5"/>
  <c r="AS27" i="5"/>
  <c r="AX26" i="5"/>
  <c r="AT26" i="5" s="1"/>
  <c r="BC26" i="5" l="1"/>
  <c r="BD26" i="5" s="1"/>
  <c r="BA26" i="5"/>
  <c r="BB26" i="5" s="1"/>
  <c r="AY27" i="5"/>
  <c r="AU25" i="5"/>
  <c r="AV25" i="5" s="1"/>
  <c r="AU26" i="5"/>
  <c r="AZ26" i="5" s="1"/>
  <c r="AX27" i="5"/>
  <c r="AT27" i="5" s="1"/>
  <c r="AS28" i="5"/>
  <c r="AZ25" i="5" l="1"/>
  <c r="BC27" i="5"/>
  <c r="BD27" i="5" s="1"/>
  <c r="AY28" i="5"/>
  <c r="BA27" i="5"/>
  <c r="BB27" i="5" s="1"/>
  <c r="AV26" i="5"/>
  <c r="AS29" i="5"/>
  <c r="AX28" i="5"/>
  <c r="BC28" i="5" l="1"/>
  <c r="BD28" i="5" s="1"/>
  <c r="AY29" i="5"/>
  <c r="BA28" i="5"/>
  <c r="BB28" i="5" s="1"/>
  <c r="AU27" i="5"/>
  <c r="AZ27" i="5" s="1"/>
  <c r="AT28" i="5"/>
  <c r="AS30" i="5"/>
  <c r="AX29" i="5"/>
  <c r="AT29" i="5" s="1"/>
  <c r="DA3" i="5"/>
  <c r="DB3" i="5"/>
  <c r="DE3" i="5"/>
  <c r="DC3" i="5"/>
  <c r="DD3" i="5"/>
  <c r="AU28" i="5" l="1"/>
  <c r="AZ28" i="5" s="1"/>
  <c r="AV27" i="5"/>
  <c r="BC29" i="5"/>
  <c r="BD29" i="5" s="1"/>
  <c r="AY30" i="5"/>
  <c r="BA29" i="5"/>
  <c r="BB29" i="5" s="1"/>
  <c r="AS31" i="5"/>
  <c r="AX30" i="5"/>
  <c r="AT30" i="5" s="1"/>
  <c r="AV28" i="5"/>
  <c r="BV3" i="5"/>
  <c r="CA3" i="5"/>
  <c r="CP3" i="5"/>
  <c r="AU29" i="5" l="1"/>
  <c r="AZ29" i="5" s="1"/>
  <c r="BC30" i="5"/>
  <c r="BD30" i="5" s="1"/>
  <c r="AY31" i="5"/>
  <c r="BA30" i="5"/>
  <c r="BB30" i="5" s="1"/>
  <c r="AV29" i="5"/>
  <c r="AX31" i="5"/>
  <c r="AT31" i="5" s="1"/>
  <c r="AS32" i="5"/>
  <c r="CU3" i="5"/>
  <c r="AU30" i="5" l="1"/>
  <c r="AZ30" i="5" s="1"/>
  <c r="BC31" i="5"/>
  <c r="BD31" i="5" s="1"/>
  <c r="AY32" i="5"/>
  <c r="BA31" i="5"/>
  <c r="BB31" i="5" s="1"/>
  <c r="AV30" i="5"/>
  <c r="AX32" i="5"/>
  <c r="AT32" i="5" s="1"/>
  <c r="CZ3" i="5"/>
  <c r="CF3" i="5"/>
  <c r="CK3" i="5"/>
  <c r="BA32" i="5" l="1"/>
  <c r="BB32" i="5" s="1"/>
  <c r="BC32" i="5"/>
  <c r="BD32" i="5" s="1"/>
  <c r="AU31" i="5"/>
  <c r="AZ31" i="5" s="1"/>
  <c r="AV31" i="5"/>
  <c r="AU32" i="5"/>
  <c r="BW3" i="5"/>
  <c r="CB3" i="5"/>
  <c r="CG3" i="5"/>
  <c r="AV32" i="5" l="1"/>
  <c r="AZ32" i="5"/>
  <c r="CV3" i="5"/>
  <c r="BZ3" i="5"/>
  <c r="CN3" i="5"/>
  <c r="BX3" i="5"/>
  <c r="CE3" i="5"/>
  <c r="CJ3" i="5"/>
  <c r="CD3" i="5"/>
  <c r="CI3" i="5"/>
  <c r="BY3" i="5"/>
  <c r="CT3" i="5" l="1"/>
  <c r="CH3" i="5"/>
  <c r="CS3" i="5"/>
  <c r="CC3" i="5"/>
  <c r="CO3" i="5"/>
  <c r="T16" i="5" l="1"/>
  <c r="L16" i="5" s="1"/>
  <c r="S16" i="5"/>
  <c r="CX3" i="5"/>
  <c r="CY3" i="5"/>
  <c r="CR3" i="5"/>
  <c r="BR3" i="5"/>
  <c r="P16" i="5" l="1"/>
  <c r="CW3" i="5"/>
  <c r="BS3" i="5"/>
  <c r="T21" i="5" l="1"/>
  <c r="L21" i="5" s="1"/>
  <c r="P21" i="5" s="1"/>
  <c r="S21" i="5"/>
  <c r="BU3" i="5"/>
  <c r="BT3" i="5"/>
  <c r="CM3" i="5"/>
  <c r="CL3" i="5"/>
  <c r="CQ3" i="5"/>
  <c r="S20" i="5" l="1"/>
  <c r="T20" i="5"/>
  <c r="L20" i="5" s="1"/>
  <c r="P20" i="5" s="1"/>
  <c r="T15" i="5" l="1"/>
  <c r="L15" i="5" s="1"/>
  <c r="K15" i="5"/>
  <c r="S15" i="5"/>
  <c r="L23" i="5" l="1"/>
  <c r="Q23" i="5"/>
  <c r="P15" i="5"/>
  <c r="AF23" i="5" l="1"/>
  <c r="V23" i="5"/>
  <c r="P23" i="5" l="1"/>
  <c r="G1" i="5" s="1"/>
  <c r="AG23" i="5"/>
  <c r="B12" i="5" s="1"/>
</calcChain>
</file>

<file path=xl/sharedStrings.xml><?xml version="1.0" encoding="utf-8"?>
<sst xmlns="http://schemas.openxmlformats.org/spreadsheetml/2006/main" count="139" uniqueCount="139">
  <si>
    <t>Name:</t>
  </si>
  <si>
    <t>Each correct formula will begin with =, +, or -.</t>
  </si>
  <si>
    <t>Cell</t>
  </si>
  <si>
    <t>F8</t>
  </si>
  <si>
    <t>Feedback</t>
  </si>
  <si>
    <t>You entered:</t>
  </si>
  <si>
    <t>a</t>
  </si>
  <si>
    <t>b</t>
  </si>
  <si>
    <t>c</t>
  </si>
  <si>
    <t>d</t>
  </si>
  <si>
    <t>e</t>
  </si>
  <si>
    <t>f</t>
  </si>
  <si>
    <t>g</t>
  </si>
  <si>
    <t>h</t>
  </si>
  <si>
    <t>i</t>
  </si>
  <si>
    <t>j</t>
  </si>
  <si>
    <t>k</t>
  </si>
  <si>
    <t>l</t>
  </si>
  <si>
    <t>m</t>
  </si>
  <si>
    <t>n</t>
  </si>
  <si>
    <t>o</t>
  </si>
  <si>
    <t>p</t>
  </si>
  <si>
    <t>q</t>
  </si>
  <si>
    <t>r</t>
  </si>
  <si>
    <t>s</t>
  </si>
  <si>
    <t>t</t>
  </si>
  <si>
    <t>u</t>
  </si>
  <si>
    <t>v</t>
  </si>
  <si>
    <t>w</t>
  </si>
  <si>
    <t>x</t>
  </si>
  <si>
    <t>y</t>
  </si>
  <si>
    <t>Z</t>
  </si>
  <si>
    <t>Each yellow cell requires a formula.</t>
  </si>
  <si>
    <t>The formula must only contain cell addresses.</t>
  </si>
  <si>
    <t>The basic mathematical operators are +, -, * and /</t>
  </si>
  <si>
    <r>
      <t xml:space="preserve">Subtraction:  To subtract the value in cell B4 from the value in cell A1, the formula is </t>
    </r>
    <r>
      <rPr>
        <b/>
        <sz val="11"/>
        <color rgb="FFC00000"/>
        <rFont val="Calibri"/>
        <family val="2"/>
        <scheme val="minor"/>
      </rPr>
      <t>=A1-B4</t>
    </r>
  </si>
  <si>
    <r>
      <t xml:space="preserve">Multiplication:  To multiply the values in cells A1 and B4, the formula is </t>
    </r>
    <r>
      <rPr>
        <b/>
        <sz val="11"/>
        <color rgb="FFC00000"/>
        <rFont val="Calibri"/>
        <family val="2"/>
        <scheme val="minor"/>
      </rPr>
      <t>=A1*B4</t>
    </r>
  </si>
  <si>
    <r>
      <t xml:space="preserve">Division:  To divide the value in cell A1 by the value in cell B4, the formula is </t>
    </r>
    <r>
      <rPr>
        <b/>
        <sz val="11"/>
        <color rgb="FFC00000"/>
        <rFont val="Calibri"/>
        <family val="2"/>
        <scheme val="minor"/>
      </rPr>
      <t>=A1/B4</t>
    </r>
  </si>
  <si>
    <r>
      <t xml:space="preserve">Addition:  To add the values in cells A1 and B4, the formula is </t>
    </r>
    <r>
      <rPr>
        <b/>
        <sz val="11"/>
        <color rgb="FFC00000"/>
        <rFont val="Calibri"/>
        <family val="2"/>
        <scheme val="minor"/>
      </rPr>
      <t>=A1+B4</t>
    </r>
  </si>
  <si>
    <t>Isblank Check?</t>
  </si>
  <si>
    <t>IsFormula Check?</t>
  </si>
  <si>
    <t>Your score:</t>
  </si>
  <si>
    <t>zz</t>
  </si>
  <si>
    <t xml:space="preserve"> </t>
  </si>
  <si>
    <t>Net income Y4</t>
  </si>
  <si>
    <t>Cash Y0</t>
  </si>
  <si>
    <t>Cash Y1</t>
  </si>
  <si>
    <t>Cash Y2</t>
  </si>
  <si>
    <t>Cash Y3</t>
  </si>
  <si>
    <t>Cash Y4</t>
  </si>
  <si>
    <t>Acts Rec Y0</t>
  </si>
  <si>
    <t>Acts Rec Y1</t>
  </si>
  <si>
    <t>Acts Rec Y2</t>
  </si>
  <si>
    <t>Acts Rec Y3</t>
  </si>
  <si>
    <t>Acts Rec Y4</t>
  </si>
  <si>
    <t>Inventory Y0</t>
  </si>
  <si>
    <t>Inventory Y1</t>
  </si>
  <si>
    <t>Inventory Y2</t>
  </si>
  <si>
    <t>Inventory Y3</t>
  </si>
  <si>
    <t>Inventory Y4</t>
  </si>
  <si>
    <t>Plant assets Y0</t>
  </si>
  <si>
    <t>Plant assets Y1</t>
  </si>
  <si>
    <t>Plant assets Y2</t>
  </si>
  <si>
    <t>Plant assets Y3</t>
  </si>
  <si>
    <t>Plant assets Y4</t>
  </si>
  <si>
    <t>Curr Liab Y0</t>
  </si>
  <si>
    <t>Curr Liab Y1</t>
  </si>
  <si>
    <t>Curr Liab Y2</t>
  </si>
  <si>
    <t>Curr Liab Y3</t>
  </si>
  <si>
    <t>Curr Liab Y4</t>
  </si>
  <si>
    <t>LT Liab Y0</t>
  </si>
  <si>
    <t>LT Liab Y1</t>
  </si>
  <si>
    <t>LT Liab Y2</t>
  </si>
  <si>
    <t>LT Liab Y3</t>
  </si>
  <si>
    <t>LT Liab Y4</t>
  </si>
  <si>
    <t>Com Stk Y0</t>
  </si>
  <si>
    <t>Com Stk Y1</t>
  </si>
  <si>
    <t>Com Stk Y2</t>
  </si>
  <si>
    <t>Com Stk Y3</t>
  </si>
  <si>
    <t>Com Stk Y4</t>
  </si>
  <si>
    <t>Ret Earn Y0</t>
  </si>
  <si>
    <t>Ret Earn Y1</t>
  </si>
  <si>
    <t>Ret Earn Y2</t>
  </si>
  <si>
    <t>Ret Earn Y3</t>
  </si>
  <si>
    <t>Ret Earn Y4</t>
  </si>
  <si>
    <t>Using absolute addresses</t>
  </si>
  <si>
    <t>Boxes of cereal</t>
  </si>
  <si>
    <t>Price per box</t>
  </si>
  <si>
    <t>Total cost</t>
  </si>
  <si>
    <t>AVERAGE</t>
  </si>
  <si>
    <t>Function check</t>
  </si>
  <si>
    <t>Everything Correct</t>
  </si>
  <si>
    <t>Mtls $ EI</t>
  </si>
  <si>
    <t>Conv $ EI</t>
  </si>
  <si>
    <t>Total EI</t>
  </si>
  <si>
    <t>Mtls Added</t>
  </si>
  <si>
    <t>Conv Added</t>
  </si>
  <si>
    <t>Cost per EUM</t>
  </si>
  <si>
    <t>Cost per EUC</t>
  </si>
  <si>
    <t>Mtls Out</t>
  </si>
  <si>
    <t>Conv Out</t>
  </si>
  <si>
    <t>Cost of GM</t>
  </si>
  <si>
    <t>Total mat</t>
  </si>
  <si>
    <t>Total Conv</t>
  </si>
  <si>
    <t>Units</t>
  </si>
  <si>
    <t>Sell $ per</t>
  </si>
  <si>
    <t>Cost $ per</t>
  </si>
  <si>
    <t>Fixed costs</t>
  </si>
  <si>
    <t>Fixed $</t>
  </si>
  <si>
    <t>CM ratio</t>
  </si>
  <si>
    <t>Current units</t>
  </si>
  <si>
    <t>BE units</t>
  </si>
  <si>
    <t>BE $</t>
  </si>
  <si>
    <t>Target Sales $</t>
  </si>
  <si>
    <t>Target units</t>
  </si>
  <si>
    <t>Net Income</t>
  </si>
  <si>
    <t>CM per</t>
  </si>
  <si>
    <t>Target Pre</t>
  </si>
  <si>
    <t>$ per unit</t>
  </si>
  <si>
    <t>Total</t>
  </si>
  <si>
    <t>Sales</t>
  </si>
  <si>
    <t>Variable costs</t>
  </si>
  <si>
    <t>Contribution margin</t>
  </si>
  <si>
    <r>
      <t xml:space="preserve">Click on the "CVP" tab and enter your name in Cell C1. </t>
    </r>
    <r>
      <rPr>
        <sz val="11"/>
        <color rgb="FFC00000"/>
        <rFont val="Calibri"/>
        <family val="2"/>
        <scheme val="minor"/>
      </rPr>
      <t xml:space="preserve"> </t>
    </r>
    <r>
      <rPr>
        <b/>
        <sz val="11"/>
        <color rgb="FFC00000"/>
        <rFont val="Calibri"/>
        <family val="2"/>
        <scheme val="minor"/>
      </rPr>
      <t>If Cell C1 is left blank, you will not be able to see your score.</t>
    </r>
  </si>
  <si>
    <t>2)  Compute the break-even point in sales dollars</t>
  </si>
  <si>
    <t>1)  Compute the break-even point in units</t>
  </si>
  <si>
    <t xml:space="preserve">Once a formula is created, you will often want to copy the formula to other columns and rows.  It's important to understand that excel always uses "relative addresses" unless you indicate otherwise by creating an "absolute address".  For example, if you are calculating the cost of purchasing 2 boxes of cereal at a cost of $3.95 per box, the formula in cell B20 is =B18*B19.  Although we read cell B20  as "Multiply 2 boxes by $3.95", Excel is actually calculating the value in cell B20 as "Multiply the value in the cell in the same column (column B) 2 rows above (row 19) by the value in the cell in the same column 1 row above (row 19).  </t>
  </si>
  <si>
    <t xml:space="preserve">This works just fine to calculate the cost of 2 boxes, but if we copy the formula in cell B20 to C20, Excel will assume relative references.   The formula in cell C20 will become =C18*C19.  Since Cell C19 is blank, the formula will return a value of $0 (which is an excellent deal for 6 boxes of cereal, but it isn't accurate!)  Adding a $ sign before the column or row reference locks the formula to a specific location.  </t>
  </si>
  <si>
    <t>If we modify the formula in cell B20 to =B18*$B$19 before we copy the formula, Excel will not change the row or the column of the second variable.  When the formula is copied to columns C through E, the formulas become:</t>
  </si>
  <si>
    <t>Cell C20</t>
  </si>
  <si>
    <t>Cell D20</t>
  </si>
  <si>
    <t>Cell E20</t>
  </si>
  <si>
    <t>=C18*$B$19</t>
  </si>
  <si>
    <t>=D18*$B$19</t>
  </si>
  <si>
    <t>=E18*$B$19</t>
  </si>
  <si>
    <r>
      <t xml:space="preserve">Sometimes, you will want the column to stay fixed, but allow the row to remain relative when it's copied.  If so, add a dollar sign before the column, but not the row (i.e.$B19)  If you want the row to stay fixed, but allow the column to remain relative when it's copied, add a dollar sign before the row, but not the column (i.e. B$19).  </t>
    </r>
    <r>
      <rPr>
        <b/>
        <sz val="11"/>
        <color rgb="FFC00000"/>
        <rFont val="Calibri"/>
        <family val="2"/>
        <scheme val="minor"/>
      </rPr>
      <t>Tapping the F4 button</t>
    </r>
    <r>
      <rPr>
        <sz val="11"/>
        <color theme="1"/>
        <rFont val="Calibri"/>
        <family val="2"/>
        <scheme val="minor"/>
      </rPr>
      <t xml:space="preserve"> while entering the formula (or in the formula bar) toggles among the 3 absolute options </t>
    </r>
    <r>
      <rPr>
        <b/>
        <sz val="11"/>
        <color rgb="FFC00000"/>
        <rFont val="Calibri"/>
        <family val="2"/>
        <scheme val="minor"/>
      </rPr>
      <t>(Absolute Column and Absolute Row $B$20, Absolute Column and Relative Row $B20, Relative Column and Absolute Row B$20)</t>
    </r>
  </si>
  <si>
    <t>Target income</t>
  </si>
  <si>
    <t>Income</t>
  </si>
  <si>
    <t>Christina Bowins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</si>
</sst>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5" formatCode="&quot;$&quot;#,##0_);\(&quot;$&quot;#,##0\)"/>
    <numFmt numFmtId="6" formatCode="&quot;$&quot;#,##0_);[Red]\(&quot;$&quot;#,##0\)"/>
    <numFmt numFmtId="8" formatCode="&quot;$&quot;#,##0.00_);[Red]\(&quot;$&quot;#,##0.00\)"/>
    <numFmt numFmtId="44" formatCode="_(&quot;$&quot;* #,##0.00_);_(&quot;$&quot;* \(#,##0.00\);_(&quot;$&quot;* &quot;-&quot;??_);_(@_)"/>
    <numFmt numFmtId="43" formatCode="_(* #,##0.00_);_(* \(#,##0.00\);_(* &quot;-&quot;??_);_(@_)"/>
    <numFmt numFmtId="164" formatCode="#,##0.0000_);\(#,##0.0000\)"/>
    <numFmt numFmtId="165" formatCode="&quot;$&quot;#,##0.00"/>
    <numFmt numFmtId="166" formatCode="0.0000"/>
    <numFmt numFmtId="167" formatCode="_(* #,##0_);_(* \(#,##0\);_(* &quot;-&quot;??_);_(@_)"/>
  </numFmts>
  <fonts count="9" x14ac:knownFonts="1">
    <font>
      <sz val="11"/>
      <color theme="1"/>
      <name val="Calibri"/>
      <family val="2"/>
      <scheme val="minor"/>
    </font>
    <font>
      <sz val="11"/>
      <color theme="1"/>
      <name val="Calibri"/>
      <family val="2"/>
      <scheme val="minor"/>
    </font>
    <font>
      <sz val="11"/>
      <color theme="1"/>
      <name val="Arial"/>
      <family val="2"/>
    </font>
    <font>
      <sz val="11"/>
      <name val="Arial"/>
      <family val="2"/>
    </font>
    <font>
      <b/>
      <sz val="11"/>
      <color rgb="FFC00000"/>
      <name val="Calibri"/>
      <family val="2"/>
      <scheme val="minor"/>
    </font>
    <font>
      <sz val="11"/>
      <color rgb="FFC00000"/>
      <name val="Calibri"/>
      <family val="2"/>
      <scheme val="minor"/>
    </font>
    <font>
      <b/>
      <sz val="11"/>
      <color theme="1"/>
      <name val="Arial"/>
      <family val="2"/>
    </font>
    <font>
      <sz val="11"/>
      <color rgb="FFC00000"/>
      <name val="Arial"/>
      <family val="2"/>
    </font>
    <font>
      <b/>
      <sz val="11"/>
      <color rgb="FFC00000"/>
      <name val="Arial"/>
      <family val="2"/>
    </font>
  </fonts>
  <fills count="8">
    <fill>
      <patternFill patternType="none"/>
    </fill>
    <fill>
      <patternFill patternType="gray125"/>
    </fill>
    <fill>
      <patternFill patternType="solid">
        <fgColor rgb="FFFFFF00"/>
        <bgColor indexed="64"/>
      </patternFill>
    </fill>
    <fill>
      <patternFill patternType="solid">
        <fgColor rgb="FFFFCCFF"/>
        <bgColor indexed="64"/>
      </patternFill>
    </fill>
    <fill>
      <patternFill patternType="solid">
        <fgColor rgb="FFFF0000"/>
        <bgColor indexed="64"/>
      </patternFill>
    </fill>
    <fill>
      <patternFill patternType="solid">
        <fgColor rgb="FF92D050"/>
        <bgColor indexed="64"/>
      </patternFill>
    </fill>
    <fill>
      <patternFill patternType="solid">
        <fgColor theme="4" tint="0.39997558519241921"/>
        <bgColor indexed="64"/>
      </patternFill>
    </fill>
    <fill>
      <patternFill patternType="solid">
        <fgColor theme="0"/>
        <bgColor indexed="64"/>
      </patternFill>
    </fill>
  </fills>
  <borders count="1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
      <left/>
      <right/>
      <top/>
      <bottom style="thin">
        <color indexed="64"/>
      </bottom>
      <diagonal/>
    </border>
    <border>
      <left/>
      <right/>
      <top style="thin">
        <color indexed="64"/>
      </top>
      <bottom style="double">
        <color indexed="64"/>
      </bottom>
      <diagonal/>
    </border>
    <border>
      <left style="thin">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82">
    <xf numFmtId="0" fontId="0" fillId="0" borderId="0" xfId="0"/>
    <xf numFmtId="0" fontId="2" fillId="0" borderId="0" xfId="0" applyFont="1"/>
    <xf numFmtId="0" fontId="2" fillId="0" borderId="0" xfId="0" applyFont="1" applyAlignment="1">
      <alignment horizontal="center"/>
    </xf>
    <xf numFmtId="37" fontId="2" fillId="0" borderId="0" xfId="0" applyNumberFormat="1" applyFont="1" applyAlignment="1">
      <alignment horizontal="center"/>
    </xf>
    <xf numFmtId="37" fontId="2" fillId="0" borderId="0" xfId="0" applyNumberFormat="1" applyFont="1"/>
    <xf numFmtId="0" fontId="0" fillId="0" borderId="0" xfId="0" quotePrefix="1"/>
    <xf numFmtId="0" fontId="0" fillId="0" borderId="0" xfId="0" applyAlignment="1">
      <alignment horizontal="left"/>
    </xf>
    <xf numFmtId="37" fontId="2" fillId="0" borderId="0" xfId="0" applyNumberFormat="1" applyFont="1" applyAlignment="1">
      <alignment horizontal="left"/>
    </xf>
    <xf numFmtId="0" fontId="4" fillId="0" borderId="0" xfId="0" applyFont="1"/>
    <xf numFmtId="0" fontId="2" fillId="0" borderId="9" xfId="0" applyFont="1" applyBorder="1" applyAlignment="1">
      <alignment horizontal="center"/>
    </xf>
    <xf numFmtId="0" fontId="2" fillId="0" borderId="8" xfId="0" applyFont="1" applyBorder="1" applyAlignment="1">
      <alignment horizontal="right"/>
    </xf>
    <xf numFmtId="0" fontId="2" fillId="0" borderId="10" xfId="0" applyFont="1" applyBorder="1" applyAlignment="1">
      <alignment horizontal="center"/>
    </xf>
    <xf numFmtId="0" fontId="0" fillId="2" borderId="0" xfId="0" applyFill="1"/>
    <xf numFmtId="0" fontId="2" fillId="0" borderId="10" xfId="0" applyFont="1" applyBorder="1" applyAlignment="1">
      <alignment horizontal="right"/>
    </xf>
    <xf numFmtId="0" fontId="0" fillId="0" borderId="0" xfId="0" applyAlignment="1">
      <alignment horizontal="right"/>
    </xf>
    <xf numFmtId="0" fontId="2" fillId="0" borderId="0" xfId="0" applyFont="1" applyAlignment="1">
      <alignment vertical="top" wrapText="1"/>
    </xf>
    <xf numFmtId="0" fontId="7" fillId="0" borderId="0" xfId="0" applyFont="1"/>
    <xf numFmtId="0" fontId="2" fillId="6" borderId="1" xfId="0" applyFont="1" applyFill="1" applyBorder="1"/>
    <xf numFmtId="0" fontId="6" fillId="6" borderId="2" xfId="0" applyFont="1" applyFill="1" applyBorder="1" applyAlignment="1">
      <alignment horizontal="right" indent="1"/>
    </xf>
    <xf numFmtId="37" fontId="2" fillId="2" borderId="0" xfId="0" applyNumberFormat="1" applyFont="1" applyFill="1" applyAlignment="1">
      <alignment horizontal="center"/>
    </xf>
    <xf numFmtId="37" fontId="2" fillId="5" borderId="0" xfId="0" applyNumberFormat="1" applyFont="1" applyFill="1" applyAlignment="1">
      <alignment horizontal="center"/>
    </xf>
    <xf numFmtId="37" fontId="2" fillId="6" borderId="0" xfId="0" applyNumberFormat="1" applyFont="1" applyFill="1" applyAlignment="1">
      <alignment horizontal="center"/>
    </xf>
    <xf numFmtId="37" fontId="2" fillId="6" borderId="0" xfId="0" applyNumberFormat="1" applyFont="1" applyFill="1" applyAlignment="1">
      <alignment horizontal="left"/>
    </xf>
    <xf numFmtId="0" fontId="2" fillId="2" borderId="0" xfId="0" applyFont="1" applyFill="1" applyAlignment="1">
      <alignment horizontal="left" wrapText="1"/>
    </xf>
    <xf numFmtId="0" fontId="2" fillId="5" borderId="0" xfId="0" applyFont="1" applyFill="1" applyAlignment="1">
      <alignment horizontal="left" wrapText="1"/>
    </xf>
    <xf numFmtId="0" fontId="2" fillId="6" borderId="0" xfId="0" applyFont="1" applyFill="1" applyAlignment="1">
      <alignment horizontal="left" wrapText="1"/>
    </xf>
    <xf numFmtId="164" fontId="2" fillId="0" borderId="0" xfId="0" applyNumberFormat="1" applyFont="1"/>
    <xf numFmtId="0" fontId="3" fillId="0" borderId="0" xfId="0" applyFont="1"/>
    <xf numFmtId="37" fontId="2" fillId="2" borderId="0" xfId="0" applyNumberFormat="1" applyFont="1" applyFill="1"/>
    <xf numFmtId="37" fontId="2" fillId="5" borderId="0" xfId="0" applyNumberFormat="1" applyFont="1" applyFill="1"/>
    <xf numFmtId="37" fontId="2" fillId="6" borderId="0" xfId="0" applyNumberFormat="1" applyFont="1" applyFill="1"/>
    <xf numFmtId="0" fontId="2" fillId="0" borderId="0" xfId="0" applyFont="1" applyProtection="1">
      <protection hidden="1"/>
    </xf>
    <xf numFmtId="38" fontId="2" fillId="0" borderId="0" xfId="0" applyNumberFormat="1" applyFont="1" applyProtection="1">
      <protection hidden="1"/>
    </xf>
    <xf numFmtId="5" fontId="2" fillId="0" borderId="0" xfId="0" applyNumberFormat="1" applyFont="1" applyAlignment="1" applyProtection="1">
      <alignment horizontal="right"/>
      <protection hidden="1"/>
    </xf>
    <xf numFmtId="37" fontId="2" fillId="0" borderId="0" xfId="0" applyNumberFormat="1" applyFont="1" applyAlignment="1" applyProtection="1">
      <alignment horizontal="right"/>
      <protection hidden="1"/>
    </xf>
    <xf numFmtId="0" fontId="4" fillId="2" borderId="1" xfId="0" applyFont="1" applyFill="1" applyBorder="1"/>
    <xf numFmtId="0" fontId="0" fillId="2" borderId="2" xfId="0" applyFill="1" applyBorder="1"/>
    <xf numFmtId="0" fontId="0" fillId="2" borderId="3" xfId="0" applyFill="1" applyBorder="1"/>
    <xf numFmtId="165" fontId="0" fillId="0" borderId="0" xfId="2" applyNumberFormat="1" applyFont="1"/>
    <xf numFmtId="165" fontId="0" fillId="0" borderId="0" xfId="0" applyNumberFormat="1"/>
    <xf numFmtId="165" fontId="0" fillId="0" borderId="12" xfId="0" applyNumberFormat="1" applyBorder="1"/>
    <xf numFmtId="38" fontId="2" fillId="0" borderId="0" xfId="0" applyNumberFormat="1" applyFont="1"/>
    <xf numFmtId="0" fontId="6" fillId="7" borderId="0" xfId="0" applyFont="1" applyFill="1" applyAlignment="1">
      <alignment horizontal="right" indent="1"/>
    </xf>
    <xf numFmtId="37" fontId="2" fillId="3" borderId="0" xfId="0" applyNumberFormat="1" applyFont="1" applyFill="1" applyAlignment="1">
      <alignment horizontal="left"/>
    </xf>
    <xf numFmtId="37" fontId="2" fillId="3" borderId="0" xfId="0" applyNumberFormat="1" applyFont="1" applyFill="1" applyAlignment="1">
      <alignment horizontal="center"/>
    </xf>
    <xf numFmtId="166" fontId="2" fillId="7" borderId="13" xfId="1" applyNumberFormat="1" applyFont="1" applyFill="1" applyBorder="1" applyProtection="1">
      <protection locked="0"/>
    </xf>
    <xf numFmtId="0" fontId="2" fillId="3" borderId="0" xfId="0" applyFont="1" applyFill="1" applyAlignment="1">
      <alignment horizontal="center"/>
    </xf>
    <xf numFmtId="40" fontId="2" fillId="0" borderId="0" xfId="0" applyNumberFormat="1" applyFont="1"/>
    <xf numFmtId="165" fontId="2" fillId="2" borderId="0" xfId="0" applyNumberFormat="1" applyFont="1" applyFill="1"/>
    <xf numFmtId="0" fontId="2" fillId="0" borderId="11" xfId="0" applyFont="1" applyBorder="1" applyProtection="1">
      <protection hidden="1"/>
    </xf>
    <xf numFmtId="9" fontId="2" fillId="0" borderId="0" xfId="1" applyFont="1" applyAlignment="1" applyProtection="1">
      <alignment horizontal="right"/>
      <protection hidden="1"/>
    </xf>
    <xf numFmtId="5" fontId="2" fillId="4" borderId="14" xfId="1" applyNumberFormat="1" applyFont="1" applyFill="1" applyBorder="1" applyProtection="1">
      <protection locked="0"/>
    </xf>
    <xf numFmtId="9" fontId="2" fillId="3" borderId="5" xfId="1" applyFont="1" applyFill="1" applyBorder="1" applyAlignment="1" applyProtection="1">
      <alignment horizontal="center"/>
      <protection locked="0" hidden="1"/>
    </xf>
    <xf numFmtId="8" fontId="2" fillId="0" borderId="0" xfId="0" applyNumberFormat="1" applyFont="1"/>
    <xf numFmtId="6" fontId="2" fillId="0" borderId="0" xfId="0" applyNumberFormat="1" applyFont="1"/>
    <xf numFmtId="6" fontId="2" fillId="0" borderId="12" xfId="0" applyNumberFormat="1" applyFont="1" applyBorder="1" applyProtection="1">
      <protection hidden="1"/>
    </xf>
    <xf numFmtId="37" fontId="2" fillId="3" borderId="0" xfId="0" applyNumberFormat="1" applyFont="1" applyFill="1"/>
    <xf numFmtId="167" fontId="2" fillId="3" borderId="0" xfId="3" applyNumberFormat="1" applyFont="1" applyFill="1" applyProtection="1"/>
    <xf numFmtId="38" fontId="2" fillId="4" borderId="4" xfId="1" applyNumberFormat="1" applyFont="1" applyFill="1" applyBorder="1" applyProtection="1">
      <protection locked="0"/>
    </xf>
    <xf numFmtId="6" fontId="2" fillId="4" borderId="4" xfId="1" applyNumberFormat="1" applyFont="1" applyFill="1" applyBorder="1" applyProtection="1">
      <protection locked="0"/>
    </xf>
    <xf numFmtId="0" fontId="2" fillId="6" borderId="15" xfId="0" applyFont="1" applyFill="1" applyBorder="1"/>
    <xf numFmtId="0" fontId="6" fillId="6" borderId="11" xfId="0" applyFont="1" applyFill="1" applyBorder="1" applyAlignment="1">
      <alignment horizontal="right" indent="1"/>
    </xf>
    <xf numFmtId="37" fontId="2" fillId="4" borderId="16" xfId="1" applyNumberFormat="1" applyFont="1" applyFill="1" applyBorder="1" applyProtection="1">
      <protection locked="0"/>
    </xf>
    <xf numFmtId="6" fontId="2" fillId="0" borderId="3" xfId="0" applyNumberFormat="1" applyFont="1" applyBorder="1" applyProtection="1">
      <protection hidden="1"/>
    </xf>
    <xf numFmtId="0" fontId="2" fillId="6" borderId="1" xfId="0" quotePrefix="1" applyFont="1" applyFill="1" applyBorder="1" applyProtection="1">
      <protection hidden="1"/>
    </xf>
    <xf numFmtId="0" fontId="2" fillId="6" borderId="2" xfId="0" applyFont="1" applyFill="1" applyBorder="1" applyAlignment="1" applyProtection="1">
      <alignment horizontal="right"/>
      <protection hidden="1"/>
    </xf>
    <xf numFmtId="0" fontId="2" fillId="6" borderId="2" xfId="0" applyFont="1" applyFill="1" applyBorder="1" applyAlignment="1" applyProtection="1">
      <alignment horizontal="right" indent="1"/>
      <protection hidden="1"/>
    </xf>
    <xf numFmtId="0" fontId="2" fillId="6" borderId="3" xfId="0" applyFont="1" applyFill="1" applyBorder="1" applyProtection="1">
      <protection hidden="1"/>
    </xf>
    <xf numFmtId="0" fontId="6" fillId="7" borderId="13" xfId="0" applyFont="1" applyFill="1" applyBorder="1" applyAlignment="1" applyProtection="1">
      <alignment horizontal="right" indent="1"/>
      <protection hidden="1"/>
    </xf>
    <xf numFmtId="6" fontId="2" fillId="0" borderId="0" xfId="0" applyNumberFormat="1" applyFont="1" applyAlignment="1" applyProtection="1">
      <alignment horizontal="right"/>
      <protection hidden="1"/>
    </xf>
    <xf numFmtId="37" fontId="2" fillId="7" borderId="0" xfId="0" applyNumberFormat="1" applyFont="1" applyFill="1" applyAlignment="1" applyProtection="1">
      <alignment horizontal="right"/>
      <protection hidden="1"/>
    </xf>
    <xf numFmtId="38" fontId="2" fillId="0" borderId="11" xfId="0" applyNumberFormat="1" applyFont="1" applyBorder="1" applyAlignment="1" applyProtection="1">
      <alignment horizontal="right"/>
      <protection hidden="1"/>
    </xf>
    <xf numFmtId="38" fontId="2" fillId="0" borderId="0" xfId="0" applyNumberFormat="1" applyFont="1" applyAlignment="1" applyProtection="1">
      <alignment horizontal="right"/>
      <protection hidden="1"/>
    </xf>
    <xf numFmtId="0" fontId="0" fillId="0" borderId="0" xfId="0" applyAlignment="1">
      <alignment horizontal="left" vertical="top" wrapText="1"/>
    </xf>
    <xf numFmtId="0" fontId="8" fillId="0" borderId="0" xfId="0" applyFont="1" applyAlignment="1" applyProtection="1">
      <alignment horizontal="center" vertical="center"/>
      <protection hidden="1"/>
    </xf>
    <xf numFmtId="37" fontId="2" fillId="2" borderId="0" xfId="0" applyNumberFormat="1" applyFont="1" applyFill="1" applyAlignment="1">
      <alignment horizontal="center"/>
    </xf>
    <xf numFmtId="37" fontId="2" fillId="5" borderId="0" xfId="0" applyNumberFormat="1" applyFont="1" applyFill="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2" fillId="2" borderId="6" xfId="0" applyFont="1" applyFill="1" applyBorder="1" applyAlignment="1" applyProtection="1">
      <alignment horizontal="left"/>
      <protection locked="0" hidden="1"/>
    </xf>
    <xf numFmtId="0" fontId="2" fillId="2" borderId="8" xfId="0" applyFont="1" applyFill="1" applyBorder="1" applyAlignment="1" applyProtection="1">
      <alignment horizontal="left"/>
      <protection locked="0" hidden="1"/>
    </xf>
    <xf numFmtId="0" fontId="2" fillId="0" borderId="0" xfId="0" applyFont="1" applyAlignment="1" applyProtection="1">
      <alignment horizontal="left" vertical="top" wrapText="1"/>
      <protection hidden="1"/>
    </xf>
  </cellXfs>
  <cellStyles count="4">
    <cellStyle name="Comma" xfId="3" builtinId="3"/>
    <cellStyle name="Currency" xfId="2" builtinId="4"/>
    <cellStyle name="Normal" xfId="0" builtinId="0"/>
    <cellStyle name="Percent" xfId="1" builtinId="5"/>
  </cellStyles>
  <dxfs count="50">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patternType="none">
          <bgColor auto="1"/>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ill>
        <patternFill>
          <bgColor rgb="FFFFFF0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patternType="none">
          <bgColor auto="1"/>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s>
  <tableStyles count="0" defaultTableStyle="TableStyleMedium2" defaultPivotStyle="PivotStyleLight16"/>
  <colors>
    <mruColors>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9"/>
  <sheetViews>
    <sheetView showGridLines="0" zoomScale="130" zoomScaleNormal="130" workbookViewId="0"/>
  </sheetViews>
  <sheetFormatPr defaultRowHeight="14.25" x14ac:dyDescent="0.45"/>
  <cols>
    <col min="1" max="1" width="15.1328125" customWidth="1"/>
    <col min="5" max="5" width="11.1328125" bestFit="1" customWidth="1"/>
    <col min="8" max="8" width="12.265625" customWidth="1"/>
    <col min="9" max="9" width="12.59765625" customWidth="1"/>
  </cols>
  <sheetData>
    <row r="1" spans="1:11" x14ac:dyDescent="0.45">
      <c r="A1" t="s">
        <v>123</v>
      </c>
    </row>
    <row r="2" spans="1:11" x14ac:dyDescent="0.45">
      <c r="A2" s="12" t="s">
        <v>32</v>
      </c>
      <c r="B2" s="12"/>
      <c r="C2" s="12"/>
      <c r="D2" s="12"/>
      <c r="E2" s="12"/>
      <c r="F2" s="12"/>
      <c r="G2" s="12"/>
      <c r="H2" s="12"/>
      <c r="I2" s="12"/>
      <c r="J2" s="12"/>
      <c r="K2" s="12"/>
    </row>
    <row r="3" spans="1:11" x14ac:dyDescent="0.45">
      <c r="A3" t="s">
        <v>33</v>
      </c>
    </row>
    <row r="4" spans="1:11" x14ac:dyDescent="0.45">
      <c r="A4" t="s">
        <v>1</v>
      </c>
    </row>
    <row r="6" spans="1:11" x14ac:dyDescent="0.45">
      <c r="A6" t="s">
        <v>34</v>
      </c>
    </row>
    <row r="7" spans="1:11" x14ac:dyDescent="0.45">
      <c r="A7" t="s">
        <v>38</v>
      </c>
    </row>
    <row r="8" spans="1:11" x14ac:dyDescent="0.45">
      <c r="A8" t="s">
        <v>35</v>
      </c>
    </row>
    <row r="9" spans="1:11" x14ac:dyDescent="0.45">
      <c r="A9" t="s">
        <v>36</v>
      </c>
    </row>
    <row r="10" spans="1:11" x14ac:dyDescent="0.45">
      <c r="A10" t="s">
        <v>37</v>
      </c>
    </row>
    <row r="12" spans="1:11" x14ac:dyDescent="0.45">
      <c r="A12" s="8" t="s">
        <v>85</v>
      </c>
    </row>
    <row r="13" spans="1:11" ht="15" customHeight="1" x14ac:dyDescent="0.45">
      <c r="A13" s="73" t="s">
        <v>126</v>
      </c>
      <c r="B13" s="73"/>
      <c r="C13" s="73"/>
      <c r="D13" s="73"/>
      <c r="E13" s="73"/>
      <c r="F13" s="73"/>
      <c r="G13" s="73"/>
      <c r="H13" s="73"/>
      <c r="I13" s="73"/>
      <c r="J13" s="73"/>
      <c r="K13" s="73"/>
    </row>
    <row r="14" spans="1:11" ht="23.25" customHeight="1" x14ac:dyDescent="0.45">
      <c r="A14" s="73"/>
      <c r="B14" s="73"/>
      <c r="C14" s="73"/>
      <c r="D14" s="73"/>
      <c r="E14" s="73"/>
      <c r="F14" s="73"/>
      <c r="G14" s="73"/>
      <c r="H14" s="73"/>
      <c r="I14" s="73"/>
      <c r="J14" s="73"/>
      <c r="K14" s="73"/>
    </row>
    <row r="15" spans="1:11" ht="29.25" customHeight="1" x14ac:dyDescent="0.45">
      <c r="A15" s="73"/>
      <c r="B15" s="73"/>
      <c r="C15" s="73"/>
      <c r="D15" s="73"/>
      <c r="E15" s="73"/>
      <c r="F15" s="73"/>
      <c r="G15" s="73"/>
      <c r="H15" s="73"/>
      <c r="I15" s="73"/>
      <c r="J15" s="73"/>
      <c r="K15" s="73"/>
    </row>
    <row r="16" spans="1:11" x14ac:dyDescent="0.45">
      <c r="A16" s="73"/>
      <c r="B16" s="73"/>
      <c r="C16" s="73"/>
      <c r="D16" s="73"/>
      <c r="E16" s="73"/>
      <c r="F16" s="73"/>
      <c r="G16" s="73"/>
      <c r="H16" s="73"/>
      <c r="I16" s="73"/>
      <c r="J16" s="73"/>
      <c r="K16" s="73"/>
    </row>
    <row r="17" spans="1:11" x14ac:dyDescent="0.45">
      <c r="A17" s="35"/>
      <c r="B17" s="36"/>
      <c r="C17" s="36"/>
      <c r="D17" s="36"/>
      <c r="E17" s="37"/>
    </row>
    <row r="18" spans="1:11" x14ac:dyDescent="0.45">
      <c r="A18" t="s">
        <v>86</v>
      </c>
      <c r="B18">
        <v>2</v>
      </c>
      <c r="C18">
        <v>6</v>
      </c>
      <c r="D18">
        <v>11</v>
      </c>
      <c r="E18">
        <v>15</v>
      </c>
    </row>
    <row r="19" spans="1:11" x14ac:dyDescent="0.45">
      <c r="A19" t="s">
        <v>87</v>
      </c>
      <c r="B19" s="38">
        <v>3.95</v>
      </c>
      <c r="C19" s="38"/>
      <c r="D19" s="39"/>
      <c r="E19" s="39"/>
    </row>
    <row r="20" spans="1:11" ht="14.65" thickBot="1" x14ac:dyDescent="0.5">
      <c r="A20" t="s">
        <v>88</v>
      </c>
      <c r="B20" s="40">
        <f>+B18*$B$19</f>
        <v>7.9</v>
      </c>
      <c r="C20" s="40">
        <f>+C18*$B$19</f>
        <v>23.700000000000003</v>
      </c>
      <c r="D20" s="40">
        <f>+D18*$B$19</f>
        <v>43.45</v>
      </c>
      <c r="E20" s="40">
        <f>+E18*$B$19</f>
        <v>59.25</v>
      </c>
    </row>
    <row r="21" spans="1:11" ht="14.65" thickTop="1" x14ac:dyDescent="0.45"/>
    <row r="22" spans="1:11" x14ac:dyDescent="0.45">
      <c r="A22" s="73" t="s">
        <v>127</v>
      </c>
      <c r="B22" s="73"/>
      <c r="C22" s="73"/>
      <c r="D22" s="73"/>
      <c r="E22" s="73"/>
      <c r="F22" s="73"/>
      <c r="G22" s="73"/>
      <c r="H22" s="73"/>
      <c r="I22" s="73"/>
      <c r="J22" s="73"/>
      <c r="K22" s="73"/>
    </row>
    <row r="23" spans="1:11" x14ac:dyDescent="0.45">
      <c r="A23" s="73"/>
      <c r="B23" s="73"/>
      <c r="C23" s="73"/>
      <c r="D23" s="73"/>
      <c r="E23" s="73"/>
      <c r="F23" s="73"/>
      <c r="G23" s="73"/>
      <c r="H23" s="73"/>
      <c r="I23" s="73"/>
      <c r="J23" s="73"/>
      <c r="K23" s="73"/>
    </row>
    <row r="24" spans="1:11" x14ac:dyDescent="0.45">
      <c r="A24" s="73"/>
      <c r="B24" s="73"/>
      <c r="C24" s="73"/>
      <c r="D24" s="73"/>
      <c r="E24" s="73"/>
      <c r="F24" s="73"/>
      <c r="G24" s="73"/>
      <c r="H24" s="73"/>
      <c r="I24" s="73"/>
      <c r="J24" s="73"/>
      <c r="K24" s="73"/>
    </row>
    <row r="25" spans="1:11" x14ac:dyDescent="0.45">
      <c r="A25" s="73"/>
      <c r="B25" s="73"/>
      <c r="C25" s="73"/>
      <c r="D25" s="73"/>
      <c r="E25" s="73"/>
      <c r="F25" s="73"/>
      <c r="G25" s="73"/>
      <c r="H25" s="73"/>
      <c r="I25" s="73"/>
      <c r="J25" s="73"/>
      <c r="K25" s="73"/>
    </row>
    <row r="27" spans="1:11" x14ac:dyDescent="0.45">
      <c r="A27" s="73" t="s">
        <v>128</v>
      </c>
      <c r="B27" s="73"/>
      <c r="C27" s="73"/>
      <c r="D27" s="73"/>
      <c r="E27" s="73"/>
      <c r="F27" s="73"/>
      <c r="G27" s="73"/>
      <c r="H27" s="73"/>
      <c r="I27" s="73"/>
      <c r="J27" s="73"/>
      <c r="K27" s="73"/>
    </row>
    <row r="28" spans="1:11" x14ac:dyDescent="0.45">
      <c r="A28" s="73"/>
      <c r="B28" s="73"/>
      <c r="C28" s="73"/>
      <c r="D28" s="73"/>
      <c r="E28" s="73"/>
      <c r="F28" s="73"/>
      <c r="G28" s="73"/>
      <c r="H28" s="73"/>
      <c r="I28" s="73"/>
      <c r="J28" s="73"/>
      <c r="K28" s="73"/>
    </row>
    <row r="29" spans="1:11" x14ac:dyDescent="0.45">
      <c r="A29" s="73"/>
      <c r="B29" s="73"/>
      <c r="C29" s="73"/>
      <c r="D29" s="73"/>
      <c r="E29" s="73"/>
      <c r="F29" s="73"/>
      <c r="G29" s="73"/>
      <c r="H29" s="73"/>
      <c r="I29" s="73"/>
      <c r="J29" s="73"/>
      <c r="K29" s="73"/>
    </row>
    <row r="30" spans="1:11" x14ac:dyDescent="0.45">
      <c r="A30" s="14" t="s">
        <v>129</v>
      </c>
      <c r="B30" s="5" t="s">
        <v>132</v>
      </c>
    </row>
    <row r="31" spans="1:11" x14ac:dyDescent="0.45">
      <c r="A31" s="14" t="s">
        <v>130</v>
      </c>
      <c r="B31" s="5" t="s">
        <v>133</v>
      </c>
    </row>
    <row r="32" spans="1:11" x14ac:dyDescent="0.45">
      <c r="A32" s="14" t="s">
        <v>131</v>
      </c>
      <c r="B32" s="5" t="s">
        <v>134</v>
      </c>
    </row>
    <row r="34" spans="1:11" x14ac:dyDescent="0.45">
      <c r="A34" s="73" t="s">
        <v>135</v>
      </c>
      <c r="B34" s="73"/>
      <c r="C34" s="73"/>
      <c r="D34" s="73"/>
      <c r="E34" s="73"/>
      <c r="F34" s="73"/>
      <c r="G34" s="73"/>
      <c r="H34" s="73"/>
      <c r="I34" s="73"/>
      <c r="J34" s="73"/>
      <c r="K34" s="73"/>
    </row>
    <row r="35" spans="1:11" x14ac:dyDescent="0.45">
      <c r="A35" s="73"/>
      <c r="B35" s="73"/>
      <c r="C35" s="73"/>
      <c r="D35" s="73"/>
      <c r="E35" s="73"/>
      <c r="F35" s="73"/>
      <c r="G35" s="73"/>
      <c r="H35" s="73"/>
      <c r="I35" s="73"/>
      <c r="J35" s="73"/>
      <c r="K35" s="73"/>
    </row>
    <row r="36" spans="1:11" x14ac:dyDescent="0.45">
      <c r="A36" s="73"/>
      <c r="B36" s="73"/>
      <c r="C36" s="73"/>
      <c r="D36" s="73"/>
      <c r="E36" s="73"/>
      <c r="F36" s="73"/>
      <c r="G36" s="73"/>
      <c r="H36" s="73"/>
      <c r="I36" s="73"/>
      <c r="J36" s="73"/>
      <c r="K36" s="73"/>
    </row>
    <row r="37" spans="1:11" x14ac:dyDescent="0.45">
      <c r="A37" s="73"/>
      <c r="B37" s="73"/>
      <c r="C37" s="73"/>
      <c r="D37" s="73"/>
      <c r="E37" s="73"/>
      <c r="F37" s="73"/>
      <c r="G37" s="73"/>
      <c r="H37" s="73"/>
      <c r="I37" s="73"/>
      <c r="J37" s="73"/>
      <c r="K37" s="73"/>
    </row>
    <row r="38" spans="1:11" x14ac:dyDescent="0.45">
      <c r="A38" s="73"/>
      <c r="B38" s="73"/>
      <c r="C38" s="73"/>
      <c r="D38" s="73"/>
      <c r="E38" s="73"/>
      <c r="F38" s="73"/>
      <c r="G38" s="73"/>
      <c r="H38" s="73"/>
      <c r="I38" s="73"/>
      <c r="J38" s="73"/>
      <c r="K38" s="73"/>
    </row>
    <row r="39" spans="1:11" x14ac:dyDescent="0.45">
      <c r="A39" s="73"/>
      <c r="B39" s="73"/>
      <c r="C39" s="73"/>
      <c r="D39" s="73"/>
      <c r="E39" s="73"/>
      <c r="F39" s="73"/>
      <c r="G39" s="73"/>
      <c r="H39" s="73"/>
      <c r="I39" s="73"/>
      <c r="J39" s="73"/>
      <c r="K39" s="73"/>
    </row>
  </sheetData>
  <mergeCells count="4">
    <mergeCell ref="A13:K16"/>
    <mergeCell ref="A22:K25"/>
    <mergeCell ref="A27:K29"/>
    <mergeCell ref="A34:K39"/>
  </mergeCells>
  <pageMargins left="0.7" right="0.7" top="0.75" bottom="0.75" header="0.3" footer="0.3"/>
  <pageSetup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C61"/>
  <sheetViews>
    <sheetView showGridLines="0" tabSelected="1" zoomScale="140" zoomScaleNormal="140" workbookViewId="0">
      <pane ySplit="1" topLeftCell="A2" activePane="bottomLeft" state="frozen"/>
      <selection pane="bottomLeft" activeCell="E21" sqref="E21"/>
    </sheetView>
  </sheetViews>
  <sheetFormatPr defaultColWidth="9.1328125" defaultRowHeight="13.5" x14ac:dyDescent="0.35"/>
  <cols>
    <col min="1" max="1" width="3.73046875" style="1" customWidth="1"/>
    <col min="2" max="2" width="30.86328125" style="1" customWidth="1"/>
    <col min="3" max="3" width="16.1328125" style="2" customWidth="1"/>
    <col min="4" max="4" width="16.1328125" style="1" customWidth="1"/>
    <col min="5" max="5" width="16.1328125" style="2" customWidth="1"/>
    <col min="6" max="6" width="10.1328125" style="1" customWidth="1"/>
    <col min="7" max="7" width="15.73046875" style="1" customWidth="1"/>
    <col min="8" max="8" width="2.73046875" style="2" customWidth="1"/>
    <col min="9" max="13" width="4.73046875" style="2" hidden="1" customWidth="1"/>
    <col min="14" max="14" width="7.265625" style="1" hidden="1" customWidth="1"/>
    <col min="15" max="15" width="2.73046875" style="3" hidden="1" customWidth="1"/>
    <col min="16" max="16" width="11.73046875" style="4" hidden="1" customWidth="1"/>
    <col min="17" max="17" width="5.73046875" style="3" hidden="1" customWidth="1"/>
    <col min="18" max="32" width="4.265625" style="3" hidden="1" customWidth="1"/>
    <col min="33" max="33" width="12.73046875" style="4" hidden="1" customWidth="1"/>
    <col min="34" max="34" width="9.1328125" style="4" hidden="1" customWidth="1"/>
    <col min="35" max="35" width="11.265625" style="4" hidden="1" customWidth="1"/>
    <col min="36" max="36" width="15.1328125" style="4" hidden="1" customWidth="1"/>
    <col min="37" max="37" width="11.265625" style="4" hidden="1" customWidth="1"/>
    <col min="38" max="38" width="13.3984375" style="4" hidden="1" customWidth="1"/>
    <col min="39" max="40" width="11.265625" style="4" hidden="1" customWidth="1"/>
    <col min="41" max="41" width="9.1328125" style="4" hidden="1" customWidth="1"/>
    <col min="42" max="44" width="9.1328125" style="1" hidden="1" customWidth="1"/>
    <col min="45" max="45" width="10.265625" style="41" hidden="1" customWidth="1"/>
    <col min="46" max="46" width="11.73046875" style="41" hidden="1" customWidth="1"/>
    <col min="47" max="47" width="11.59765625" style="41" hidden="1" customWidth="1"/>
    <col min="48" max="48" width="12.73046875" style="41" hidden="1" customWidth="1"/>
    <col min="49" max="50" width="10.265625" style="41" hidden="1" customWidth="1"/>
    <col min="51" max="51" width="10.265625" style="4" hidden="1" customWidth="1"/>
    <col min="52" max="52" width="11.86328125" style="41" hidden="1" customWidth="1"/>
    <col min="53" max="53" width="10.265625" style="41" hidden="1" customWidth="1"/>
    <col min="54" max="54" width="13.265625" style="41" hidden="1" customWidth="1"/>
    <col min="55" max="55" width="10.265625" style="41" hidden="1" customWidth="1"/>
    <col min="56" max="56" width="12.73046875" style="41" hidden="1" customWidth="1"/>
    <col min="57" max="60" width="10.265625" style="41" hidden="1" customWidth="1"/>
    <col min="61" max="61" width="11.59765625" style="41" hidden="1" customWidth="1"/>
    <col min="62" max="64" width="10.265625" style="41" hidden="1" customWidth="1"/>
    <col min="65" max="65" width="12.86328125" style="41" hidden="1" customWidth="1"/>
    <col min="66" max="66" width="11.86328125" style="41" hidden="1" customWidth="1"/>
    <col min="67" max="67" width="10.265625" style="41" hidden="1" customWidth="1"/>
    <col min="68" max="68" width="11.265625" style="41" hidden="1" customWidth="1"/>
    <col min="69" max="120" width="10.265625" style="41" hidden="1" customWidth="1"/>
    <col min="121" max="159" width="10.265625" style="41" customWidth="1"/>
    <col min="160" max="209" width="9.1328125" style="1" customWidth="1"/>
    <col min="210" max="16384" width="9.1328125" style="1"/>
  </cols>
  <sheetData>
    <row r="1" spans="1:109" ht="15" customHeight="1" thickBot="1" x14ac:dyDescent="0.4">
      <c r="A1" s="77" t="s">
        <v>0</v>
      </c>
      <c r="B1" s="78"/>
      <c r="C1" s="79" t="s">
        <v>138</v>
      </c>
      <c r="D1" s="80"/>
      <c r="E1" s="9"/>
      <c r="F1" s="10" t="s">
        <v>41</v>
      </c>
      <c r="G1" s="52">
        <f>IF(AR3="ZZ","",ROUND(P23/Q23,2))</f>
        <v>1</v>
      </c>
      <c r="H1" s="4"/>
      <c r="I1" s="4"/>
      <c r="J1" s="4"/>
      <c r="K1" s="4"/>
      <c r="L1" s="4"/>
      <c r="M1" s="4"/>
      <c r="N1" s="4"/>
      <c r="O1" s="4"/>
      <c r="AF1" s="3" t="s">
        <v>43</v>
      </c>
      <c r="AG1" s="3" t="str">
        <f>IF(ISERROR(FIND(" ",C1)),PROPER(C1),PROPER(LEFT(C1,FIND(" ",C1)-1)))</f>
        <v>Christina</v>
      </c>
      <c r="AI1" s="7" t="str">
        <f>CONCATENATE(PROPER(C1)," Company")</f>
        <v>Christina Bowins Company</v>
      </c>
    </row>
    <row r="2" spans="1:109" ht="15.75" customHeight="1" x14ac:dyDescent="0.35">
      <c r="E2" s="11"/>
      <c r="F2" s="13"/>
      <c r="G2" s="11"/>
      <c r="AG2" s="3"/>
      <c r="AP2" s="4"/>
      <c r="AS2" s="41" t="s">
        <v>105</v>
      </c>
      <c r="AT2" s="41" t="s">
        <v>106</v>
      </c>
      <c r="AU2" s="41" t="s">
        <v>108</v>
      </c>
      <c r="AV2" s="41" t="s">
        <v>117</v>
      </c>
      <c r="AW2" s="41" t="s">
        <v>109</v>
      </c>
      <c r="AX2" s="41" t="s">
        <v>116</v>
      </c>
      <c r="AY2" s="4" t="s">
        <v>110</v>
      </c>
      <c r="AZ2" s="41" t="s">
        <v>115</v>
      </c>
      <c r="BA2" s="41" t="s">
        <v>111</v>
      </c>
      <c r="BB2" s="41" t="s">
        <v>112</v>
      </c>
      <c r="BC2" s="41" t="s">
        <v>114</v>
      </c>
      <c r="BD2" s="41" t="s">
        <v>113</v>
      </c>
      <c r="BE2" s="41" t="s">
        <v>92</v>
      </c>
      <c r="BF2" s="41" t="s">
        <v>93</v>
      </c>
      <c r="BG2" s="41" t="s">
        <v>94</v>
      </c>
      <c r="BH2" s="41" t="s">
        <v>95</v>
      </c>
      <c r="BI2" s="41" t="s">
        <v>96</v>
      </c>
      <c r="BJ2" s="41" t="s">
        <v>97</v>
      </c>
      <c r="BK2" s="41" t="s">
        <v>98</v>
      </c>
      <c r="BL2" s="41" t="s">
        <v>99</v>
      </c>
      <c r="BM2" s="41" t="s">
        <v>100</v>
      </c>
      <c r="BN2" s="41" t="s">
        <v>101</v>
      </c>
      <c r="BO2" s="41" t="s">
        <v>102</v>
      </c>
      <c r="BP2" s="41" t="s">
        <v>103</v>
      </c>
      <c r="BQ2" s="41" t="s">
        <v>44</v>
      </c>
      <c r="BR2" s="32" t="s">
        <v>45</v>
      </c>
      <c r="BS2" s="32" t="s">
        <v>46</v>
      </c>
      <c r="BT2" s="32" t="s">
        <v>47</v>
      </c>
      <c r="BU2" s="32" t="s">
        <v>48</v>
      </c>
      <c r="BV2" s="32" t="s">
        <v>49</v>
      </c>
      <c r="BW2" s="32" t="s">
        <v>50</v>
      </c>
      <c r="BX2" s="32" t="s">
        <v>51</v>
      </c>
      <c r="BY2" s="32" t="s">
        <v>52</v>
      </c>
      <c r="BZ2" s="32" t="s">
        <v>53</v>
      </c>
      <c r="CA2" s="32" t="s">
        <v>54</v>
      </c>
      <c r="CB2" s="32" t="s">
        <v>55</v>
      </c>
      <c r="CC2" s="32" t="s">
        <v>56</v>
      </c>
      <c r="CD2" s="32" t="s">
        <v>57</v>
      </c>
      <c r="CE2" s="32" t="s">
        <v>58</v>
      </c>
      <c r="CF2" s="32" t="s">
        <v>59</v>
      </c>
      <c r="CG2" s="32" t="s">
        <v>60</v>
      </c>
      <c r="CH2" s="32" t="s">
        <v>61</v>
      </c>
      <c r="CI2" s="32" t="s">
        <v>62</v>
      </c>
      <c r="CJ2" s="32" t="s">
        <v>63</v>
      </c>
      <c r="CK2" s="32" t="s">
        <v>64</v>
      </c>
      <c r="CL2" s="32" t="s">
        <v>65</v>
      </c>
      <c r="CM2" s="32" t="s">
        <v>66</v>
      </c>
      <c r="CN2" s="32" t="s">
        <v>67</v>
      </c>
      <c r="CO2" s="32" t="s">
        <v>68</v>
      </c>
      <c r="CP2" s="32" t="s">
        <v>69</v>
      </c>
      <c r="CQ2" s="32" t="s">
        <v>70</v>
      </c>
      <c r="CR2" s="32" t="s">
        <v>71</v>
      </c>
      <c r="CS2" s="32" t="s">
        <v>72</v>
      </c>
      <c r="CT2" s="32" t="s">
        <v>73</v>
      </c>
      <c r="CU2" s="32" t="s">
        <v>74</v>
      </c>
      <c r="CV2" s="32" t="s">
        <v>75</v>
      </c>
      <c r="CW2" s="32" t="s">
        <v>76</v>
      </c>
      <c r="CX2" s="32" t="s">
        <v>77</v>
      </c>
      <c r="CY2" s="32" t="s">
        <v>78</v>
      </c>
      <c r="CZ2" s="32" t="s">
        <v>79</v>
      </c>
      <c r="DA2" s="32" t="s">
        <v>80</v>
      </c>
      <c r="DB2" s="32" t="s">
        <v>81</v>
      </c>
      <c r="DC2" s="32" t="s">
        <v>82</v>
      </c>
      <c r="DD2" s="32" t="s">
        <v>83</v>
      </c>
      <c r="DE2" s="32" t="s">
        <v>84</v>
      </c>
    </row>
    <row r="3" spans="1:109" ht="44.25" customHeight="1" x14ac:dyDescent="0.35">
      <c r="A3" s="81" t="str">
        <f ca="1">CONCATENATE(Company," reports the contribution margin income statement for ",YEAR(TODAY())," below.  Using this information, compute ",Company,"'s 1) break-even point in units, 2) break-even point in sales dollars, 3)  unit sales to achieve target income, and 4)  dollar sales to achieve target income.")</f>
        <v>Christina Bowins Company reports the contribution margin income statement for 2023 below.  Using this information, compute Christina Bowins Company's 1) break-even point in units, 2) break-even point in sales dollars, 3)  unit sales to achieve target income, and 4)  dollar sales to achieve target income.</v>
      </c>
      <c r="B3" s="81"/>
      <c r="C3" s="81"/>
      <c r="D3" s="81"/>
      <c r="E3" s="81"/>
      <c r="F3" s="81"/>
      <c r="G3" s="81"/>
      <c r="H3" s="15"/>
      <c r="I3" s="15"/>
      <c r="AP3" s="4"/>
      <c r="AR3" s="16" t="str">
        <f>IF(OR(ISBLANK(C1),C1="enter name here"),"ZZ",LEFT(C1,1))</f>
        <v>C</v>
      </c>
      <c r="AS3" s="41">
        <f t="shared" ref="AS3:BX3" si="0">VLOOKUP($AR$3,$AR$5:$DE$33,COLUMN(AS2)-COLUMN($AQ$2))</f>
        <v>200</v>
      </c>
      <c r="AT3" s="41">
        <f t="shared" si="0"/>
        <v>130</v>
      </c>
      <c r="AU3" s="41">
        <f t="shared" si="0"/>
        <v>84000</v>
      </c>
      <c r="AV3" s="41">
        <f t="shared" si="0"/>
        <v>56000</v>
      </c>
      <c r="AW3" s="41">
        <f t="shared" si="0"/>
        <v>0.35</v>
      </c>
      <c r="AX3" s="41">
        <f t="shared" si="0"/>
        <v>70</v>
      </c>
      <c r="AY3" s="4">
        <f t="shared" si="0"/>
        <v>1700</v>
      </c>
      <c r="AZ3" s="41">
        <f t="shared" si="0"/>
        <v>35000</v>
      </c>
      <c r="BA3" s="41">
        <f t="shared" si="0"/>
        <v>1200</v>
      </c>
      <c r="BB3" s="41">
        <f t="shared" si="0"/>
        <v>240000</v>
      </c>
      <c r="BC3" s="41">
        <f t="shared" si="0"/>
        <v>2000</v>
      </c>
      <c r="BD3" s="41">
        <f t="shared" si="0"/>
        <v>400000</v>
      </c>
      <c r="BE3" s="41">
        <f t="shared" si="0"/>
        <v>0</v>
      </c>
      <c r="BF3" s="41">
        <f t="shared" si="0"/>
        <v>0</v>
      </c>
      <c r="BG3" s="41">
        <f t="shared" si="0"/>
        <v>0</v>
      </c>
      <c r="BH3" s="41">
        <f t="shared" si="0"/>
        <v>0</v>
      </c>
      <c r="BI3" s="41">
        <f t="shared" si="0"/>
        <v>0</v>
      </c>
      <c r="BJ3" s="41">
        <f t="shared" si="0"/>
        <v>0</v>
      </c>
      <c r="BK3" s="41">
        <f t="shared" si="0"/>
        <v>0</v>
      </c>
      <c r="BL3" s="41">
        <f t="shared" si="0"/>
        <v>0</v>
      </c>
      <c r="BM3" s="41">
        <f t="shared" si="0"/>
        <v>0</v>
      </c>
      <c r="BN3" s="41">
        <f t="shared" si="0"/>
        <v>0</v>
      </c>
      <c r="BO3" s="41">
        <f t="shared" si="0"/>
        <v>0</v>
      </c>
      <c r="BP3" s="41">
        <f t="shared" si="0"/>
        <v>0</v>
      </c>
      <c r="BQ3" s="41">
        <f t="shared" si="0"/>
        <v>0</v>
      </c>
      <c r="BR3" s="41">
        <f t="shared" si="0"/>
        <v>0</v>
      </c>
      <c r="BS3" s="41">
        <f t="shared" si="0"/>
        <v>0</v>
      </c>
      <c r="BT3" s="41">
        <f t="shared" si="0"/>
        <v>0</v>
      </c>
      <c r="BU3" s="41">
        <f t="shared" si="0"/>
        <v>0</v>
      </c>
      <c r="BV3" s="41">
        <f t="shared" si="0"/>
        <v>0</v>
      </c>
      <c r="BW3" s="41">
        <f t="shared" si="0"/>
        <v>0</v>
      </c>
      <c r="BX3" s="41">
        <f t="shared" si="0"/>
        <v>0</v>
      </c>
      <c r="BY3" s="41">
        <f t="shared" ref="BY3:DD3" si="1">VLOOKUP($AR$3,$AR$5:$DE$33,COLUMN(BY2)-COLUMN($AQ$2))</f>
        <v>0</v>
      </c>
      <c r="BZ3" s="41">
        <f t="shared" si="1"/>
        <v>0</v>
      </c>
      <c r="CA3" s="41">
        <f t="shared" si="1"/>
        <v>0</v>
      </c>
      <c r="CB3" s="41">
        <f t="shared" si="1"/>
        <v>0</v>
      </c>
      <c r="CC3" s="41">
        <f t="shared" si="1"/>
        <v>0</v>
      </c>
      <c r="CD3" s="41">
        <f t="shared" si="1"/>
        <v>0</v>
      </c>
      <c r="CE3" s="41">
        <f t="shared" si="1"/>
        <v>0</v>
      </c>
      <c r="CF3" s="41">
        <f t="shared" si="1"/>
        <v>0</v>
      </c>
      <c r="CG3" s="41">
        <f t="shared" si="1"/>
        <v>0</v>
      </c>
      <c r="CH3" s="41">
        <f t="shared" si="1"/>
        <v>0</v>
      </c>
      <c r="CI3" s="41">
        <f t="shared" si="1"/>
        <v>0</v>
      </c>
      <c r="CJ3" s="41">
        <f t="shared" si="1"/>
        <v>0</v>
      </c>
      <c r="CK3" s="41">
        <f t="shared" si="1"/>
        <v>0</v>
      </c>
      <c r="CL3" s="41">
        <f t="shared" si="1"/>
        <v>0</v>
      </c>
      <c r="CM3" s="41">
        <f t="shared" si="1"/>
        <v>0</v>
      </c>
      <c r="CN3" s="41">
        <f t="shared" si="1"/>
        <v>0</v>
      </c>
      <c r="CO3" s="41">
        <f t="shared" si="1"/>
        <v>0</v>
      </c>
      <c r="CP3" s="41">
        <f t="shared" si="1"/>
        <v>0</v>
      </c>
      <c r="CQ3" s="41">
        <f t="shared" si="1"/>
        <v>0</v>
      </c>
      <c r="CR3" s="41">
        <f t="shared" si="1"/>
        <v>0</v>
      </c>
      <c r="CS3" s="41">
        <f t="shared" si="1"/>
        <v>0</v>
      </c>
      <c r="CT3" s="41">
        <f t="shared" si="1"/>
        <v>0</v>
      </c>
      <c r="CU3" s="41">
        <f t="shared" si="1"/>
        <v>0</v>
      </c>
      <c r="CV3" s="41">
        <f t="shared" si="1"/>
        <v>0</v>
      </c>
      <c r="CW3" s="41">
        <f t="shared" si="1"/>
        <v>0</v>
      </c>
      <c r="CX3" s="41">
        <f t="shared" si="1"/>
        <v>0</v>
      </c>
      <c r="CY3" s="41">
        <f t="shared" si="1"/>
        <v>0</v>
      </c>
      <c r="CZ3" s="41">
        <f t="shared" si="1"/>
        <v>0</v>
      </c>
      <c r="DA3" s="41">
        <f t="shared" si="1"/>
        <v>0</v>
      </c>
      <c r="DB3" s="41">
        <f t="shared" si="1"/>
        <v>0</v>
      </c>
      <c r="DC3" s="41">
        <f t="shared" si="1"/>
        <v>0</v>
      </c>
      <c r="DD3" s="41">
        <f t="shared" si="1"/>
        <v>0</v>
      </c>
      <c r="DE3" s="41">
        <f t="shared" ref="DE3" si="2">VLOOKUP($AR$3,$AR$5:$DE$33,COLUMN(DE2)-COLUMN($AQ$2))</f>
        <v>0</v>
      </c>
    </row>
    <row r="4" spans="1:109" x14ac:dyDescent="0.35">
      <c r="A4" s="31"/>
      <c r="B4" s="49"/>
      <c r="C4" s="49"/>
      <c r="D4" s="49"/>
      <c r="E4" s="49"/>
      <c r="F4" s="49"/>
      <c r="G4" s="31"/>
      <c r="BR4" s="32"/>
      <c r="BS4" s="32"/>
      <c r="BT4" s="32"/>
      <c r="BU4" s="32"/>
      <c r="BV4" s="32"/>
      <c r="BW4" s="32"/>
      <c r="BX4" s="32"/>
      <c r="BY4" s="32"/>
      <c r="BZ4" s="32"/>
      <c r="CA4" s="32"/>
      <c r="CB4" s="32"/>
      <c r="CC4" s="32"/>
      <c r="CD4" s="32"/>
      <c r="CE4" s="32"/>
      <c r="CF4" s="32"/>
      <c r="CG4" s="32"/>
      <c r="CH4" s="32"/>
      <c r="CI4" s="32"/>
      <c r="CJ4" s="32"/>
      <c r="CK4" s="32"/>
      <c r="CL4" s="32"/>
      <c r="CM4" s="32"/>
      <c r="CN4" s="32"/>
      <c r="CO4" s="32"/>
      <c r="CP4" s="32"/>
      <c r="CQ4" s="32"/>
      <c r="CR4" s="32"/>
      <c r="CS4" s="32"/>
      <c r="CT4" s="32"/>
      <c r="CU4" s="32"/>
      <c r="CV4" s="32"/>
      <c r="CW4" s="32"/>
      <c r="CX4" s="32"/>
      <c r="CY4" s="32"/>
      <c r="CZ4" s="32"/>
      <c r="DA4" s="32"/>
      <c r="DB4" s="32"/>
      <c r="DC4" s="32"/>
      <c r="DD4" s="32"/>
      <c r="DE4" s="32"/>
    </row>
    <row r="5" spans="1:109" ht="13.9" x14ac:dyDescent="0.4">
      <c r="A5" s="31"/>
      <c r="B5" s="64"/>
      <c r="C5" s="65" t="s">
        <v>104</v>
      </c>
      <c r="D5" s="65" t="s">
        <v>118</v>
      </c>
      <c r="E5" s="66" t="s">
        <v>119</v>
      </c>
      <c r="F5" s="67"/>
      <c r="G5" s="68"/>
      <c r="AQ5" s="4"/>
      <c r="AR5" s="1" t="s">
        <v>6</v>
      </c>
      <c r="AS5" s="53">
        <v>180</v>
      </c>
      <c r="AT5" s="53">
        <f>+AS5-AX5</f>
        <v>135</v>
      </c>
      <c r="AU5" s="54">
        <f>+BA5*AX5</f>
        <v>49500</v>
      </c>
      <c r="AV5" s="54">
        <f>+(BC5*AX5)-AU5</f>
        <v>31500</v>
      </c>
      <c r="AW5" s="47">
        <v>0.25</v>
      </c>
      <c r="AX5" s="53">
        <f>+AS5*AW5</f>
        <v>45</v>
      </c>
      <c r="AY5" s="4">
        <v>1500</v>
      </c>
      <c r="AZ5" s="54">
        <f>(+AX5*AY5)-AU5</f>
        <v>18000</v>
      </c>
      <c r="BA5" s="41">
        <f>ROUND(AY5*0.7,-2)</f>
        <v>1100</v>
      </c>
      <c r="BB5" s="54">
        <f>+BA5*AS5</f>
        <v>198000</v>
      </c>
      <c r="BC5" s="41">
        <f>ROUND(AY5*1.2,-2)</f>
        <v>1800</v>
      </c>
      <c r="BD5" s="54">
        <f>+BC5*AS5</f>
        <v>324000</v>
      </c>
      <c r="BJ5" s="48"/>
      <c r="BK5" s="48"/>
      <c r="BR5" s="32"/>
      <c r="BS5" s="32"/>
      <c r="BT5" s="32"/>
      <c r="BU5" s="32"/>
      <c r="BV5" s="32"/>
      <c r="BW5" s="32"/>
      <c r="BX5" s="32"/>
      <c r="BY5" s="32"/>
      <c r="BZ5" s="32"/>
      <c r="CA5" s="32"/>
      <c r="CB5" s="32"/>
      <c r="CC5" s="32"/>
      <c r="CD5" s="32"/>
      <c r="CE5" s="32"/>
      <c r="CF5" s="32"/>
      <c r="CG5" s="32"/>
      <c r="CH5" s="32"/>
      <c r="CI5" s="32"/>
      <c r="CJ5" s="32"/>
      <c r="CK5" s="32"/>
      <c r="CL5" s="32"/>
      <c r="CM5" s="32"/>
      <c r="CN5" s="32"/>
      <c r="CO5" s="32"/>
      <c r="CP5" s="32"/>
      <c r="CQ5" s="32"/>
      <c r="CR5" s="32"/>
      <c r="CS5" s="32"/>
      <c r="CT5" s="32"/>
      <c r="CU5" s="32"/>
      <c r="CV5" s="32"/>
      <c r="CW5" s="32"/>
      <c r="CX5" s="32"/>
      <c r="CY5" s="32"/>
      <c r="CZ5" s="32"/>
      <c r="DA5" s="32"/>
      <c r="DB5" s="32"/>
      <c r="DC5" s="32"/>
      <c r="DD5" s="32"/>
      <c r="DE5" s="32"/>
    </row>
    <row r="6" spans="1:109" x14ac:dyDescent="0.35">
      <c r="A6" s="31"/>
      <c r="B6" s="31" t="s">
        <v>120</v>
      </c>
      <c r="C6" s="34">
        <f>Current_units</f>
        <v>1700</v>
      </c>
      <c r="D6" s="33">
        <f>Sell___per</f>
        <v>200</v>
      </c>
      <c r="E6" s="69">
        <f>+C6*D6</f>
        <v>340000</v>
      </c>
      <c r="F6" s="34"/>
      <c r="G6" s="70"/>
      <c r="AR6" s="1" t="s">
        <v>7</v>
      </c>
      <c r="AS6" s="53">
        <f>+AS5+10</f>
        <v>190</v>
      </c>
      <c r="AT6" s="53">
        <f>+AS6-AX6</f>
        <v>133</v>
      </c>
      <c r="AU6" s="54">
        <f>+BA6*AX6</f>
        <v>62700</v>
      </c>
      <c r="AV6" s="54">
        <f t="shared" ref="AV6:AV32" si="3">+(BC6*AX6)-AU6</f>
        <v>45600</v>
      </c>
      <c r="AW6" s="47">
        <v>0.3</v>
      </c>
      <c r="AX6" s="53">
        <f t="shared" ref="AX6:AX32" si="4">+AS6*AW6</f>
        <v>57</v>
      </c>
      <c r="AY6" s="4">
        <f>+AY5+100</f>
        <v>1600</v>
      </c>
      <c r="AZ6" s="54">
        <f t="shared" ref="AZ6:AZ32" si="5">(+AX6*AY6)-AU6</f>
        <v>28500</v>
      </c>
      <c r="BA6" s="41">
        <f t="shared" ref="BA6:BA32" si="6">ROUND(AY6*0.7,-2)</f>
        <v>1100</v>
      </c>
      <c r="BB6" s="54">
        <f t="shared" ref="BB6:BB32" si="7">+BA6*AS6</f>
        <v>209000</v>
      </c>
      <c r="BC6" s="41">
        <f t="shared" ref="BC6:BC32" si="8">ROUND(AY6*1.2,-2)</f>
        <v>1900</v>
      </c>
      <c r="BD6" s="54">
        <f t="shared" ref="BD6:BD32" si="9">+BC6*AS6</f>
        <v>361000</v>
      </c>
      <c r="BJ6" s="48"/>
      <c r="BK6" s="48"/>
      <c r="BR6" s="32"/>
      <c r="BS6" s="32"/>
      <c r="BT6" s="32"/>
      <c r="BU6" s="32"/>
      <c r="BV6" s="32"/>
      <c r="BW6" s="32"/>
      <c r="BX6" s="32"/>
      <c r="BY6" s="32"/>
      <c r="BZ6" s="32"/>
      <c r="CA6" s="32"/>
      <c r="CB6" s="32"/>
      <c r="CC6" s="32"/>
      <c r="CD6" s="32"/>
      <c r="CE6" s="32"/>
      <c r="CF6" s="32"/>
      <c r="CG6" s="32"/>
      <c r="CH6" s="32"/>
      <c r="CI6" s="32"/>
      <c r="CJ6" s="32"/>
      <c r="CK6" s="32"/>
      <c r="CL6" s="32"/>
      <c r="CM6" s="32"/>
      <c r="CN6" s="32"/>
      <c r="CO6" s="32"/>
      <c r="CP6" s="32"/>
      <c r="CQ6" s="32"/>
      <c r="CR6" s="32"/>
      <c r="CS6" s="32"/>
      <c r="CT6" s="32"/>
      <c r="CU6" s="32"/>
      <c r="CV6" s="32"/>
      <c r="CW6" s="32"/>
      <c r="CX6" s="32"/>
      <c r="CY6" s="32"/>
      <c r="CZ6" s="32"/>
      <c r="DA6" s="32"/>
      <c r="DB6" s="32"/>
      <c r="DC6" s="32"/>
      <c r="DD6" s="32"/>
      <c r="DE6" s="32"/>
    </row>
    <row r="7" spans="1:109" ht="14.25" customHeight="1" x14ac:dyDescent="0.35">
      <c r="A7" s="31"/>
      <c r="B7" s="31" t="s">
        <v>121</v>
      </c>
      <c r="C7" s="34">
        <f>+C6</f>
        <v>1700</v>
      </c>
      <c r="D7" s="34">
        <f>Cost___per</f>
        <v>130</v>
      </c>
      <c r="E7" s="71">
        <f>+C7*D7</f>
        <v>221000</v>
      </c>
      <c r="F7" s="34"/>
      <c r="G7" s="70"/>
      <c r="AR7" s="1" t="s">
        <v>8</v>
      </c>
      <c r="AS7" s="53">
        <f>+AS6+10</f>
        <v>200</v>
      </c>
      <c r="AT7" s="53">
        <f>+AS7-AX7</f>
        <v>130</v>
      </c>
      <c r="AU7" s="54">
        <f>+BA7*AX7</f>
        <v>84000</v>
      </c>
      <c r="AV7" s="54">
        <f t="shared" si="3"/>
        <v>56000</v>
      </c>
      <c r="AW7" s="47">
        <v>0.35</v>
      </c>
      <c r="AX7" s="53">
        <f t="shared" si="4"/>
        <v>70</v>
      </c>
      <c r="AY7" s="4">
        <f>+AY6+100</f>
        <v>1700</v>
      </c>
      <c r="AZ7" s="54">
        <f t="shared" si="5"/>
        <v>35000</v>
      </c>
      <c r="BA7" s="41">
        <f t="shared" si="6"/>
        <v>1200</v>
      </c>
      <c r="BB7" s="54">
        <f t="shared" si="7"/>
        <v>240000</v>
      </c>
      <c r="BC7" s="41">
        <f t="shared" si="8"/>
        <v>2000</v>
      </c>
      <c r="BD7" s="54">
        <f t="shared" si="9"/>
        <v>400000</v>
      </c>
      <c r="BJ7" s="48"/>
      <c r="BK7" s="48"/>
      <c r="BR7" s="32"/>
      <c r="BS7" s="32"/>
      <c r="BT7" s="32"/>
      <c r="BU7" s="32"/>
      <c r="BV7" s="32"/>
      <c r="BW7" s="32"/>
      <c r="BX7" s="32"/>
      <c r="BY7" s="32"/>
      <c r="BZ7" s="32"/>
      <c r="CA7" s="32"/>
      <c r="CB7" s="32"/>
      <c r="CC7" s="32"/>
      <c r="CD7" s="32"/>
      <c r="CE7" s="32"/>
      <c r="CF7" s="32"/>
      <c r="CG7" s="32"/>
      <c r="CH7" s="32"/>
      <c r="CI7" s="32"/>
      <c r="CJ7" s="32"/>
      <c r="CK7" s="32"/>
      <c r="CL7" s="32"/>
      <c r="CM7" s="32"/>
      <c r="CN7" s="32"/>
      <c r="CO7" s="32"/>
      <c r="CP7" s="32"/>
      <c r="CQ7" s="32"/>
      <c r="CR7" s="32"/>
      <c r="CS7" s="32"/>
      <c r="CT7" s="32"/>
      <c r="CU7" s="32"/>
      <c r="CV7" s="32"/>
      <c r="CW7" s="32"/>
      <c r="CX7" s="32"/>
      <c r="CY7" s="32"/>
      <c r="CZ7" s="32"/>
      <c r="DA7" s="32"/>
      <c r="DB7" s="32"/>
      <c r="DC7" s="32"/>
      <c r="DD7" s="32"/>
      <c r="DE7" s="32"/>
    </row>
    <row r="8" spans="1:109" ht="14.25" customHeight="1" x14ac:dyDescent="0.35">
      <c r="A8" s="31"/>
      <c r="B8" s="31" t="s">
        <v>122</v>
      </c>
      <c r="C8" s="34"/>
      <c r="D8" s="34"/>
      <c r="E8" s="72">
        <f>+E6-E7</f>
        <v>119000</v>
      </c>
      <c r="F8" s="34"/>
      <c r="G8" s="70"/>
      <c r="AR8" s="1" t="s">
        <v>9</v>
      </c>
      <c r="AS8" s="53">
        <f t="shared" ref="AS8:AS32" si="10">+AS7+10</f>
        <v>210</v>
      </c>
      <c r="AT8" s="53">
        <f t="shared" ref="AT8:AT32" si="11">+AS8-AX8</f>
        <v>126</v>
      </c>
      <c r="AU8" s="54">
        <f t="shared" ref="AU8:AU32" si="12">+BA8*AX8</f>
        <v>109200</v>
      </c>
      <c r="AV8" s="54">
        <f t="shared" si="3"/>
        <v>75600</v>
      </c>
      <c r="AW8" s="47">
        <v>0.4</v>
      </c>
      <c r="AX8" s="53">
        <f t="shared" si="4"/>
        <v>84</v>
      </c>
      <c r="AY8" s="4">
        <f t="shared" ref="AY8:AY32" si="13">+AY7+100</f>
        <v>1800</v>
      </c>
      <c r="AZ8" s="54">
        <f t="shared" si="5"/>
        <v>42000</v>
      </c>
      <c r="BA8" s="41">
        <f t="shared" si="6"/>
        <v>1300</v>
      </c>
      <c r="BB8" s="54">
        <f t="shared" si="7"/>
        <v>273000</v>
      </c>
      <c r="BC8" s="41">
        <f t="shared" si="8"/>
        <v>2200</v>
      </c>
      <c r="BD8" s="54">
        <f t="shared" si="9"/>
        <v>462000</v>
      </c>
      <c r="BJ8" s="48"/>
      <c r="BK8" s="48"/>
      <c r="BR8" s="32"/>
      <c r="BS8" s="32"/>
      <c r="BT8" s="32"/>
      <c r="BU8" s="32"/>
      <c r="BV8" s="32"/>
      <c r="BW8" s="32"/>
      <c r="BX8" s="32"/>
      <c r="BY8" s="32"/>
      <c r="BZ8" s="32"/>
      <c r="CA8" s="32"/>
      <c r="CB8" s="32"/>
      <c r="CC8" s="32"/>
      <c r="CD8" s="32"/>
      <c r="CE8" s="32"/>
      <c r="CF8" s="32"/>
      <c r="CG8" s="32"/>
      <c r="CH8" s="32"/>
      <c r="CI8" s="32"/>
      <c r="CJ8" s="32"/>
      <c r="CK8" s="32"/>
      <c r="CL8" s="32"/>
      <c r="CM8" s="32"/>
      <c r="CN8" s="32"/>
      <c r="CO8" s="32"/>
      <c r="CP8" s="32"/>
      <c r="CQ8" s="32"/>
      <c r="CR8" s="32"/>
      <c r="CS8" s="32"/>
      <c r="CT8" s="32"/>
      <c r="CU8" s="32"/>
      <c r="CV8" s="32"/>
      <c r="CW8" s="32"/>
      <c r="CX8" s="32"/>
      <c r="CY8" s="32"/>
      <c r="CZ8" s="32"/>
      <c r="DA8" s="32"/>
      <c r="DB8" s="32"/>
      <c r="DC8" s="32"/>
      <c r="DD8" s="32"/>
      <c r="DE8" s="32"/>
    </row>
    <row r="9" spans="1:109" ht="15.75" customHeight="1" x14ac:dyDescent="0.35">
      <c r="A9" s="31"/>
      <c r="B9" s="31" t="s">
        <v>107</v>
      </c>
      <c r="C9" s="34"/>
      <c r="D9" s="34"/>
      <c r="E9" s="72">
        <f>Fixed</f>
        <v>84000</v>
      </c>
      <c r="F9" s="31"/>
      <c r="G9" s="31"/>
      <c r="AR9" s="1" t="s">
        <v>10</v>
      </c>
      <c r="AS9" s="53">
        <f t="shared" si="10"/>
        <v>220</v>
      </c>
      <c r="AT9" s="53">
        <f t="shared" si="11"/>
        <v>121</v>
      </c>
      <c r="AU9" s="54">
        <f t="shared" si="12"/>
        <v>128700</v>
      </c>
      <c r="AV9" s="54">
        <f t="shared" si="3"/>
        <v>99000</v>
      </c>
      <c r="AW9" s="47">
        <v>0.45</v>
      </c>
      <c r="AX9" s="53">
        <f t="shared" si="4"/>
        <v>99</v>
      </c>
      <c r="AY9" s="4">
        <f t="shared" si="13"/>
        <v>1900</v>
      </c>
      <c r="AZ9" s="54">
        <f t="shared" si="5"/>
        <v>59400</v>
      </c>
      <c r="BA9" s="41">
        <f t="shared" si="6"/>
        <v>1300</v>
      </c>
      <c r="BB9" s="54">
        <f t="shared" si="7"/>
        <v>286000</v>
      </c>
      <c r="BC9" s="41">
        <f t="shared" si="8"/>
        <v>2300</v>
      </c>
      <c r="BD9" s="54">
        <f t="shared" si="9"/>
        <v>506000</v>
      </c>
      <c r="BJ9" s="48"/>
      <c r="BK9" s="48"/>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32"/>
      <c r="DC9" s="32"/>
      <c r="DD9" s="32"/>
      <c r="DE9" s="32"/>
    </row>
    <row r="10" spans="1:109" ht="13.9" thickBot="1" x14ac:dyDescent="0.4">
      <c r="A10" s="31"/>
      <c r="B10" s="31" t="s">
        <v>137</v>
      </c>
      <c r="C10" s="31"/>
      <c r="D10" s="31"/>
      <c r="E10" s="55">
        <f>+E8-E9</f>
        <v>35000</v>
      </c>
      <c r="F10" s="31"/>
      <c r="G10" s="31"/>
      <c r="AQ10" s="16"/>
      <c r="AR10" s="1" t="s">
        <v>11</v>
      </c>
      <c r="AS10" s="53">
        <f t="shared" si="10"/>
        <v>230</v>
      </c>
      <c r="AT10" s="53">
        <f t="shared" si="11"/>
        <v>103.49999999999999</v>
      </c>
      <c r="AU10" s="54">
        <f t="shared" si="12"/>
        <v>177100.00000000003</v>
      </c>
      <c r="AV10" s="54">
        <f t="shared" si="3"/>
        <v>126500.00000000003</v>
      </c>
      <c r="AW10" s="47">
        <v>0.55000000000000004</v>
      </c>
      <c r="AX10" s="53">
        <f t="shared" si="4"/>
        <v>126.50000000000001</v>
      </c>
      <c r="AY10" s="4">
        <f t="shared" si="13"/>
        <v>2000</v>
      </c>
      <c r="AZ10" s="54">
        <f t="shared" si="5"/>
        <v>75900</v>
      </c>
      <c r="BA10" s="41">
        <f t="shared" si="6"/>
        <v>1400</v>
      </c>
      <c r="BB10" s="54">
        <f t="shared" si="7"/>
        <v>322000</v>
      </c>
      <c r="BC10" s="41">
        <f t="shared" si="8"/>
        <v>2400</v>
      </c>
      <c r="BD10" s="54">
        <f t="shared" si="9"/>
        <v>552000</v>
      </c>
      <c r="BJ10" s="48"/>
      <c r="BK10" s="48"/>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row>
    <row r="11" spans="1:109" ht="13.9" thickTop="1" x14ac:dyDescent="0.35">
      <c r="A11" s="31"/>
      <c r="B11" s="31"/>
      <c r="C11" s="31"/>
      <c r="D11" s="31"/>
      <c r="E11" s="31"/>
      <c r="F11" s="31"/>
      <c r="G11" s="31"/>
      <c r="AR11" s="1" t="s">
        <v>12</v>
      </c>
      <c r="AS11" s="53">
        <f t="shared" si="10"/>
        <v>240</v>
      </c>
      <c r="AT11" s="53">
        <f t="shared" si="11"/>
        <v>96</v>
      </c>
      <c r="AU11" s="54">
        <f t="shared" si="12"/>
        <v>216000</v>
      </c>
      <c r="AV11" s="54">
        <f t="shared" si="3"/>
        <v>144000</v>
      </c>
      <c r="AW11" s="47">
        <v>0.6</v>
      </c>
      <c r="AX11" s="53">
        <f t="shared" si="4"/>
        <v>144</v>
      </c>
      <c r="AY11" s="4">
        <f t="shared" si="13"/>
        <v>2100</v>
      </c>
      <c r="AZ11" s="54">
        <f t="shared" si="5"/>
        <v>86400</v>
      </c>
      <c r="BA11" s="41">
        <f t="shared" si="6"/>
        <v>1500</v>
      </c>
      <c r="BB11" s="54">
        <f t="shared" si="7"/>
        <v>360000</v>
      </c>
      <c r="BC11" s="41">
        <f t="shared" si="8"/>
        <v>2500</v>
      </c>
      <c r="BD11" s="54">
        <f t="shared" si="9"/>
        <v>600000</v>
      </c>
      <c r="BJ11" s="48"/>
      <c r="BK11" s="48"/>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row>
    <row r="12" spans="1:109" x14ac:dyDescent="0.35">
      <c r="A12" s="31"/>
      <c r="B12" s="74" t="str">
        <f>IF(L23=V23,"",IF(V23&gt;AA23,"This is not a formula",IF(AG23=0,"Your formula is incorrect","You must use the AVERAGE function in your formula.")))</f>
        <v/>
      </c>
      <c r="C12" s="74"/>
      <c r="D12" s="74"/>
      <c r="E12" s="74"/>
      <c r="F12" s="74"/>
      <c r="G12" s="74"/>
      <c r="R12" s="19"/>
      <c r="S12" s="19"/>
      <c r="T12" s="19"/>
      <c r="U12" s="19"/>
      <c r="V12" s="19"/>
      <c r="W12" s="20"/>
      <c r="X12" s="20"/>
      <c r="Y12" s="20"/>
      <c r="Z12" s="20"/>
      <c r="AA12" s="20"/>
      <c r="AB12" s="43" t="s">
        <v>89</v>
      </c>
      <c r="AC12" s="44"/>
      <c r="AD12" s="44"/>
      <c r="AE12" s="44"/>
      <c r="AF12" s="44"/>
      <c r="AG12" s="1"/>
      <c r="AR12" s="1" t="s">
        <v>13</v>
      </c>
      <c r="AS12" s="53">
        <f t="shared" si="10"/>
        <v>250</v>
      </c>
      <c r="AT12" s="53">
        <f t="shared" si="11"/>
        <v>187.5</v>
      </c>
      <c r="AU12" s="54">
        <f t="shared" si="12"/>
        <v>93750</v>
      </c>
      <c r="AV12" s="54">
        <f t="shared" si="3"/>
        <v>68750</v>
      </c>
      <c r="AW12" s="47">
        <f>+AW5</f>
        <v>0.25</v>
      </c>
      <c r="AX12" s="53">
        <f t="shared" si="4"/>
        <v>62.5</v>
      </c>
      <c r="AY12" s="4">
        <f t="shared" si="13"/>
        <v>2200</v>
      </c>
      <c r="AZ12" s="54">
        <f t="shared" si="5"/>
        <v>43750</v>
      </c>
      <c r="BA12" s="41">
        <f t="shared" si="6"/>
        <v>1500</v>
      </c>
      <c r="BB12" s="54">
        <f t="shared" si="7"/>
        <v>375000</v>
      </c>
      <c r="BC12" s="41">
        <f t="shared" si="8"/>
        <v>2600</v>
      </c>
      <c r="BD12" s="54">
        <f t="shared" si="9"/>
        <v>650000</v>
      </c>
      <c r="BJ12" s="48"/>
      <c r="BK12" s="48"/>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row>
    <row r="13" spans="1:109" ht="15" customHeight="1" x14ac:dyDescent="0.35">
      <c r="A13" s="31"/>
      <c r="B13" s="74"/>
      <c r="C13" s="74"/>
      <c r="D13" s="74"/>
      <c r="E13" s="74"/>
      <c r="F13" s="74"/>
      <c r="G13" s="74"/>
      <c r="J13" s="75" t="s">
        <v>91</v>
      </c>
      <c r="K13" s="75"/>
      <c r="L13" s="75"/>
      <c r="M13" s="75"/>
      <c r="N13" s="75"/>
      <c r="R13" s="75" t="s">
        <v>39</v>
      </c>
      <c r="S13" s="75"/>
      <c r="T13" s="75"/>
      <c r="U13" s="75"/>
      <c r="V13" s="75"/>
      <c r="W13" s="76" t="s">
        <v>40</v>
      </c>
      <c r="X13" s="76"/>
      <c r="Y13" s="76"/>
      <c r="Z13" s="76"/>
      <c r="AA13" s="76"/>
      <c r="AB13" s="22" t="str">
        <f>CONCATENATE("Used ",AB12,"  function?")</f>
        <v>Used AVERAGE  function?</v>
      </c>
      <c r="AC13" s="21"/>
      <c r="AD13" s="21"/>
      <c r="AE13" s="21"/>
      <c r="AF13" s="21"/>
      <c r="AH13" s="1" t="s">
        <v>90</v>
      </c>
      <c r="AR13" s="1" t="s">
        <v>14</v>
      </c>
      <c r="AS13" s="53">
        <f t="shared" si="10"/>
        <v>260</v>
      </c>
      <c r="AT13" s="53">
        <f t="shared" si="11"/>
        <v>182</v>
      </c>
      <c r="AU13" s="54">
        <f t="shared" si="12"/>
        <v>124800</v>
      </c>
      <c r="AV13" s="54">
        <f t="shared" si="3"/>
        <v>93600</v>
      </c>
      <c r="AW13" s="47">
        <f>+AW6</f>
        <v>0.3</v>
      </c>
      <c r="AX13" s="53">
        <f t="shared" si="4"/>
        <v>78</v>
      </c>
      <c r="AY13" s="4">
        <f t="shared" si="13"/>
        <v>2300</v>
      </c>
      <c r="AZ13" s="54">
        <f t="shared" si="5"/>
        <v>54600</v>
      </c>
      <c r="BA13" s="41">
        <f t="shared" si="6"/>
        <v>1600</v>
      </c>
      <c r="BB13" s="54">
        <f t="shared" si="7"/>
        <v>416000</v>
      </c>
      <c r="BC13" s="41">
        <f t="shared" si="8"/>
        <v>2800</v>
      </c>
      <c r="BD13" s="54">
        <f t="shared" si="9"/>
        <v>728000</v>
      </c>
      <c r="BJ13" s="48"/>
      <c r="BK13" s="48"/>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row>
    <row r="14" spans="1:109" ht="14.25" customHeight="1" x14ac:dyDescent="0.4">
      <c r="B14" s="60"/>
      <c r="C14" s="61"/>
      <c r="D14" s="61"/>
      <c r="E14" s="61"/>
      <c r="F14" s="45"/>
      <c r="G14" s="42"/>
      <c r="R14" s="19"/>
      <c r="S14" s="19"/>
      <c r="T14" s="19"/>
      <c r="U14" s="19"/>
      <c r="V14" s="19"/>
      <c r="W14" s="20"/>
      <c r="X14" s="20"/>
      <c r="Y14" s="20"/>
      <c r="Z14" s="20"/>
      <c r="AA14" s="20"/>
      <c r="AB14" s="21"/>
      <c r="AC14" s="21"/>
      <c r="AD14" s="21"/>
      <c r="AE14" s="21"/>
      <c r="AF14" s="21"/>
      <c r="AK14" s="56"/>
      <c r="AL14" s="56"/>
      <c r="AR14" s="1" t="s">
        <v>15</v>
      </c>
      <c r="AS14" s="53">
        <f t="shared" si="10"/>
        <v>270</v>
      </c>
      <c r="AT14" s="53">
        <f t="shared" si="11"/>
        <v>175.5</v>
      </c>
      <c r="AU14" s="54">
        <f t="shared" si="12"/>
        <v>160650</v>
      </c>
      <c r="AV14" s="54">
        <f t="shared" si="3"/>
        <v>113400</v>
      </c>
      <c r="AW14" s="47">
        <f t="shared" ref="AW14:AW32" si="14">+AW7</f>
        <v>0.35</v>
      </c>
      <c r="AX14" s="53">
        <f t="shared" si="4"/>
        <v>94.5</v>
      </c>
      <c r="AY14" s="4">
        <f t="shared" si="13"/>
        <v>2400</v>
      </c>
      <c r="AZ14" s="54">
        <f t="shared" si="5"/>
        <v>66150</v>
      </c>
      <c r="BA14" s="41">
        <f t="shared" si="6"/>
        <v>1700</v>
      </c>
      <c r="BB14" s="54">
        <f t="shared" si="7"/>
        <v>459000</v>
      </c>
      <c r="BC14" s="41">
        <f t="shared" si="8"/>
        <v>2900</v>
      </c>
      <c r="BD14" s="54">
        <f t="shared" si="9"/>
        <v>783000</v>
      </c>
      <c r="BJ14" s="48"/>
      <c r="BK14" s="48"/>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2"/>
      <c r="CZ14" s="32"/>
      <c r="DA14" s="32"/>
      <c r="DB14" s="32"/>
      <c r="DC14" s="32"/>
      <c r="DD14" s="32"/>
      <c r="DE14" s="32"/>
    </row>
    <row r="15" spans="1:109" x14ac:dyDescent="0.35">
      <c r="B15" s="31" t="s">
        <v>125</v>
      </c>
      <c r="C15" s="33"/>
      <c r="D15" s="50"/>
      <c r="E15" s="58">
        <f>+E9/(D6-D7)</f>
        <v>1200</v>
      </c>
      <c r="F15" s="45"/>
      <c r="G15" s="33"/>
      <c r="K15" s="2">
        <f t="shared" ref="K15" si="15">IF(AND(_xlfn.ISFORMULA(D15),ABS(D15)-ABS(AK15)&lt;0.0001,ABS(D15)-ABS(AK15)&gt;-0.0001),1,0)</f>
        <v>0</v>
      </c>
      <c r="L15" s="2">
        <f>IF(AND(T15=1,Y15=1,E15=AL15),1,0)</f>
        <v>1</v>
      </c>
      <c r="N15" s="2"/>
      <c r="P15" s="4">
        <f>SUM(J15:O15)</f>
        <v>1</v>
      </c>
      <c r="Q15" s="3">
        <f>IF(AL15=0,0,1)</f>
        <v>1</v>
      </c>
      <c r="R15" s="23"/>
      <c r="S15" s="23">
        <f t="shared" ref="S15:T16" si="16">IF(ISBLANK(D15),0,1)</f>
        <v>0</v>
      </c>
      <c r="T15" s="23">
        <f t="shared" si="16"/>
        <v>1</v>
      </c>
      <c r="U15" s="23">
        <f t="shared" ref="U15:V16" si="17">IF(ISBLANK(F15),0,1)</f>
        <v>0</v>
      </c>
      <c r="V15" s="23">
        <f t="shared" si="17"/>
        <v>0</v>
      </c>
      <c r="W15" s="24"/>
      <c r="X15" s="24">
        <f t="shared" ref="X15:Y16" si="18">IF(_xlfn.ISFORMULA(D15),1,0)</f>
        <v>0</v>
      </c>
      <c r="Y15" s="24">
        <f t="shared" si="18"/>
        <v>1</v>
      </c>
      <c r="Z15" s="24">
        <f t="shared" ref="Z15:AA16" si="19">IF(_xlfn.ISFORMULA(F15),1,0)</f>
        <v>0</v>
      </c>
      <c r="AA15" s="24">
        <f t="shared" si="19"/>
        <v>0</v>
      </c>
      <c r="AB15" s="25"/>
      <c r="AC15" s="25"/>
      <c r="AD15" s="25"/>
      <c r="AE15" s="25"/>
      <c r="AF15" s="25"/>
      <c r="AI15" s="3"/>
      <c r="AJ15" s="26"/>
      <c r="AK15" s="57"/>
      <c r="AL15" s="57">
        <f>BE_units</f>
        <v>1200</v>
      </c>
      <c r="AM15" s="26"/>
      <c r="AN15" s="26"/>
      <c r="AR15" s="1" t="s">
        <v>16</v>
      </c>
      <c r="AS15" s="53">
        <f t="shared" si="10"/>
        <v>280</v>
      </c>
      <c r="AT15" s="53">
        <f t="shared" si="11"/>
        <v>168</v>
      </c>
      <c r="AU15" s="54">
        <f t="shared" si="12"/>
        <v>201600</v>
      </c>
      <c r="AV15" s="54">
        <f t="shared" si="3"/>
        <v>134400</v>
      </c>
      <c r="AW15" s="47">
        <f t="shared" si="14"/>
        <v>0.4</v>
      </c>
      <c r="AX15" s="53">
        <f t="shared" si="4"/>
        <v>112</v>
      </c>
      <c r="AY15" s="4">
        <f t="shared" si="13"/>
        <v>2500</v>
      </c>
      <c r="AZ15" s="54">
        <f t="shared" si="5"/>
        <v>78400</v>
      </c>
      <c r="BA15" s="41">
        <f t="shared" si="6"/>
        <v>1800</v>
      </c>
      <c r="BB15" s="54">
        <f t="shared" si="7"/>
        <v>504000</v>
      </c>
      <c r="BC15" s="41">
        <f t="shared" si="8"/>
        <v>3000</v>
      </c>
      <c r="BD15" s="54">
        <f t="shared" si="9"/>
        <v>840000</v>
      </c>
      <c r="BJ15" s="48"/>
      <c r="BK15" s="48"/>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row>
    <row r="16" spans="1:109" x14ac:dyDescent="0.35">
      <c r="B16" s="31" t="s">
        <v>124</v>
      </c>
      <c r="C16" s="33"/>
      <c r="D16" s="50"/>
      <c r="E16" s="59">
        <f>+E9/((D6-D7)/D6)</f>
        <v>240000.00000000003</v>
      </c>
      <c r="F16" s="45"/>
      <c r="G16" s="34"/>
      <c r="J16" s="46"/>
      <c r="K16" s="46">
        <f>IF(AND(_xlfn.ISFORMULA(D16),ABS(D16)-ABS(AK16)&lt;0.0001,ABS(D16)-ABS(AK16)&gt;-0.0001),1,0)</f>
        <v>0</v>
      </c>
      <c r="L16" s="2">
        <f>IF(AND(T16=1,Y16=1,E16=AL16),1,0)</f>
        <v>1</v>
      </c>
      <c r="N16" s="2"/>
      <c r="P16" s="4">
        <f t="shared" ref="P16" si="20">SUM(J16:O16)</f>
        <v>1</v>
      </c>
      <c r="Q16" s="3">
        <f>IF(AL16=0,0,1)</f>
        <v>1</v>
      </c>
      <c r="R16" s="23"/>
      <c r="S16" s="23">
        <f t="shared" si="16"/>
        <v>0</v>
      </c>
      <c r="T16" s="23">
        <f t="shared" si="16"/>
        <v>1</v>
      </c>
      <c r="U16" s="23">
        <f t="shared" si="17"/>
        <v>0</v>
      </c>
      <c r="V16" s="23">
        <f t="shared" si="17"/>
        <v>0</v>
      </c>
      <c r="W16" s="24"/>
      <c r="X16" s="24">
        <f t="shared" si="18"/>
        <v>0</v>
      </c>
      <c r="Y16" s="24">
        <f t="shared" si="18"/>
        <v>1</v>
      </c>
      <c r="Z16" s="24">
        <f t="shared" si="19"/>
        <v>0</v>
      </c>
      <c r="AA16" s="24">
        <f t="shared" si="19"/>
        <v>0</v>
      </c>
      <c r="AB16" s="25"/>
      <c r="AC16" s="25"/>
      <c r="AD16" s="25"/>
      <c r="AE16" s="25"/>
      <c r="AF16" s="25"/>
      <c r="AI16" s="3"/>
      <c r="AJ16" s="26"/>
      <c r="AK16" s="57"/>
      <c r="AL16" s="57">
        <f>BE</f>
        <v>240000</v>
      </c>
      <c r="AM16" s="26"/>
      <c r="AN16" s="26"/>
      <c r="AR16" s="1" t="s">
        <v>17</v>
      </c>
      <c r="AS16" s="53">
        <f t="shared" si="10"/>
        <v>290</v>
      </c>
      <c r="AT16" s="53">
        <f t="shared" si="11"/>
        <v>159.5</v>
      </c>
      <c r="AU16" s="54">
        <f t="shared" si="12"/>
        <v>234900</v>
      </c>
      <c r="AV16" s="54">
        <f t="shared" si="3"/>
        <v>169650</v>
      </c>
      <c r="AW16" s="47">
        <f t="shared" si="14"/>
        <v>0.45</v>
      </c>
      <c r="AX16" s="53">
        <f t="shared" si="4"/>
        <v>130.5</v>
      </c>
      <c r="AY16" s="4">
        <f t="shared" si="13"/>
        <v>2600</v>
      </c>
      <c r="AZ16" s="54">
        <f t="shared" si="5"/>
        <v>104400</v>
      </c>
      <c r="BA16" s="41">
        <f t="shared" si="6"/>
        <v>1800</v>
      </c>
      <c r="BB16" s="54">
        <f t="shared" si="7"/>
        <v>522000</v>
      </c>
      <c r="BC16" s="41">
        <f t="shared" si="8"/>
        <v>3100</v>
      </c>
      <c r="BD16" s="54">
        <f t="shared" si="9"/>
        <v>899000</v>
      </c>
      <c r="BJ16" s="48"/>
      <c r="BK16" s="48"/>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row>
    <row r="17" spans="2:109" x14ac:dyDescent="0.35">
      <c r="B17" s="31"/>
      <c r="C17" s="34"/>
      <c r="D17" s="34"/>
      <c r="E17" s="34"/>
      <c r="F17" s="34"/>
      <c r="G17" s="34"/>
      <c r="N17" s="2"/>
      <c r="R17" s="23"/>
      <c r="S17" s="23"/>
      <c r="T17" s="23"/>
      <c r="U17" s="23"/>
      <c r="V17" s="23"/>
      <c r="W17" s="24"/>
      <c r="X17" s="24"/>
      <c r="Y17" s="24"/>
      <c r="Z17" s="24"/>
      <c r="AA17" s="24"/>
      <c r="AB17" s="25"/>
      <c r="AC17" s="25"/>
      <c r="AD17" s="25"/>
      <c r="AE17" s="25"/>
      <c r="AF17" s="25"/>
      <c r="AI17" s="3"/>
      <c r="AJ17" s="26"/>
      <c r="AK17" s="57"/>
      <c r="AL17" s="57"/>
      <c r="AM17" s="26"/>
      <c r="AN17" s="26"/>
      <c r="AO17" s="26"/>
      <c r="AS17" s="53">
        <f t="shared" si="10"/>
        <v>300</v>
      </c>
      <c r="AT17" s="53">
        <f t="shared" si="11"/>
        <v>135</v>
      </c>
      <c r="AU17" s="54">
        <f t="shared" si="12"/>
        <v>313500</v>
      </c>
      <c r="AV17" s="54">
        <f t="shared" si="3"/>
        <v>214500</v>
      </c>
      <c r="AW17" s="47">
        <f t="shared" si="14"/>
        <v>0.55000000000000004</v>
      </c>
      <c r="AX17" s="53">
        <f t="shared" si="4"/>
        <v>165</v>
      </c>
      <c r="AY17" s="4">
        <f t="shared" si="13"/>
        <v>2700</v>
      </c>
      <c r="AZ17" s="54">
        <f t="shared" si="5"/>
        <v>132000</v>
      </c>
      <c r="BA17" s="41">
        <f t="shared" si="6"/>
        <v>1900</v>
      </c>
      <c r="BB17" s="54">
        <f t="shared" si="7"/>
        <v>570000</v>
      </c>
      <c r="BC17" s="41">
        <f t="shared" si="8"/>
        <v>3200</v>
      </c>
      <c r="BD17" s="54">
        <f t="shared" si="9"/>
        <v>960000</v>
      </c>
      <c r="BJ17" s="48"/>
      <c r="BK17" s="48"/>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row>
    <row r="18" spans="2:109" ht="14.25" customHeight="1" x14ac:dyDescent="0.4">
      <c r="B18" s="17"/>
      <c r="C18" s="18"/>
      <c r="D18" s="18"/>
      <c r="E18" s="18"/>
      <c r="F18" s="45"/>
      <c r="G18" s="42"/>
      <c r="R18" s="19"/>
      <c r="S18" s="19"/>
      <c r="T18" s="19"/>
      <c r="U18" s="19"/>
      <c r="V18" s="19"/>
      <c r="W18" s="20"/>
      <c r="X18" s="20"/>
      <c r="Y18" s="20"/>
      <c r="Z18" s="20"/>
      <c r="AA18" s="20"/>
      <c r="AB18" s="21"/>
      <c r="AC18" s="21"/>
      <c r="AD18" s="21"/>
      <c r="AE18" s="21"/>
      <c r="AF18" s="21"/>
      <c r="AJ18" s="26"/>
      <c r="AK18" s="57"/>
      <c r="AL18" s="57"/>
      <c r="AM18" s="26"/>
      <c r="AN18" s="26"/>
      <c r="AO18" s="26"/>
      <c r="AP18" s="26"/>
      <c r="AS18" s="53">
        <f t="shared" si="10"/>
        <v>310</v>
      </c>
      <c r="AT18" s="53">
        <f t="shared" si="11"/>
        <v>124</v>
      </c>
      <c r="AU18" s="54">
        <f t="shared" si="12"/>
        <v>372000</v>
      </c>
      <c r="AV18" s="54">
        <f t="shared" si="3"/>
        <v>260400</v>
      </c>
      <c r="AW18" s="47">
        <f t="shared" si="14"/>
        <v>0.6</v>
      </c>
      <c r="AX18" s="53">
        <f t="shared" si="4"/>
        <v>186</v>
      </c>
      <c r="AY18" s="4">
        <f t="shared" si="13"/>
        <v>2800</v>
      </c>
      <c r="AZ18" s="54">
        <f t="shared" si="5"/>
        <v>148800</v>
      </c>
      <c r="BA18" s="41">
        <f t="shared" si="6"/>
        <v>2000</v>
      </c>
      <c r="BB18" s="54">
        <f t="shared" si="7"/>
        <v>620000</v>
      </c>
      <c r="BC18" s="41">
        <f t="shared" si="8"/>
        <v>3400</v>
      </c>
      <c r="BD18" s="54">
        <f t="shared" si="9"/>
        <v>1054000</v>
      </c>
      <c r="BJ18" s="48"/>
      <c r="BK18" s="48"/>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row>
    <row r="19" spans="2:109" ht="14.25" customHeight="1" x14ac:dyDescent="0.35">
      <c r="B19" s="31" t="s">
        <v>136</v>
      </c>
      <c r="C19" s="33"/>
      <c r="D19" s="50"/>
      <c r="E19" s="63">
        <f>Target_Pre</f>
        <v>56000</v>
      </c>
      <c r="F19" s="45"/>
      <c r="G19" s="33"/>
      <c r="N19" s="2"/>
      <c r="R19" s="23"/>
      <c r="S19" s="23"/>
      <c r="T19" s="23"/>
      <c r="U19" s="23"/>
      <c r="V19" s="23"/>
      <c r="W19" s="24"/>
      <c r="X19" s="24"/>
      <c r="Y19" s="24"/>
      <c r="Z19" s="24"/>
      <c r="AA19" s="24"/>
      <c r="AB19" s="25"/>
      <c r="AC19" s="25"/>
      <c r="AD19" s="25"/>
      <c r="AE19" s="25"/>
      <c r="AF19" s="25"/>
      <c r="AI19" s="3"/>
      <c r="AK19" s="57"/>
      <c r="AL19" s="57"/>
      <c r="AM19" s="26"/>
      <c r="AN19" s="26"/>
      <c r="AO19" s="26"/>
      <c r="AP19" s="26"/>
      <c r="AR19" s="1" t="s">
        <v>18</v>
      </c>
      <c r="AS19" s="53">
        <f t="shared" si="10"/>
        <v>320</v>
      </c>
      <c r="AT19" s="53">
        <f t="shared" si="11"/>
        <v>240</v>
      </c>
      <c r="AU19" s="54">
        <f t="shared" si="12"/>
        <v>160000</v>
      </c>
      <c r="AV19" s="54">
        <f t="shared" si="3"/>
        <v>120000</v>
      </c>
      <c r="AW19" s="47">
        <f t="shared" si="14"/>
        <v>0.25</v>
      </c>
      <c r="AX19" s="53">
        <f t="shared" si="4"/>
        <v>80</v>
      </c>
      <c r="AY19" s="4">
        <f t="shared" si="13"/>
        <v>2900</v>
      </c>
      <c r="AZ19" s="54">
        <f t="shared" si="5"/>
        <v>72000</v>
      </c>
      <c r="BA19" s="41">
        <f t="shared" si="6"/>
        <v>2000</v>
      </c>
      <c r="BB19" s="54">
        <f t="shared" si="7"/>
        <v>640000</v>
      </c>
      <c r="BC19" s="41">
        <f t="shared" si="8"/>
        <v>3500</v>
      </c>
      <c r="BD19" s="54">
        <f t="shared" si="9"/>
        <v>1120000</v>
      </c>
      <c r="BJ19" s="48"/>
      <c r="BK19" s="48"/>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row>
    <row r="20" spans="2:109" x14ac:dyDescent="0.35">
      <c r="B20" s="31" t="str">
        <f>CONCATENATE("Sales (units) to achieve targeted income of ",DOLLAR(E19,0))</f>
        <v>Sales (units) to achieve targeted income of $56,000</v>
      </c>
      <c r="C20" s="33"/>
      <c r="D20" s="50"/>
      <c r="E20" s="62">
        <f>+(E9+E19)/(D6-D7)</f>
        <v>2000</v>
      </c>
      <c r="F20" s="45"/>
      <c r="G20" s="34"/>
      <c r="K20" s="2">
        <f t="shared" ref="K20:K21" si="21">IF(AND(_xlfn.ISFORMULA(D20),ABS(D20)-ABS(AK20)&lt;0.0001,ABS(D20)-ABS(AK20)&gt;-0.0001),1,0)</f>
        <v>0</v>
      </c>
      <c r="L20" s="2">
        <f t="shared" ref="L20:L21" si="22">IF(AND(T20=1,Y20=1,E20=AL20),1,0)</f>
        <v>1</v>
      </c>
      <c r="N20" s="2"/>
      <c r="P20" s="4">
        <f t="shared" ref="P20:P21" si="23">SUM(J20:O20)</f>
        <v>1</v>
      </c>
      <c r="Q20" s="3">
        <f t="shared" ref="Q20:Q21" si="24">IF(AL20=0,0,1)</f>
        <v>1</v>
      </c>
      <c r="R20" s="23"/>
      <c r="S20" s="23">
        <f t="shared" ref="S20:S21" si="25">IF(ISBLANK(D20),0,1)</f>
        <v>0</v>
      </c>
      <c r="T20" s="23">
        <f t="shared" ref="T20:T21" si="26">IF(ISBLANK(E20),0,1)</f>
        <v>1</v>
      </c>
      <c r="U20" s="23">
        <f t="shared" ref="U20:U21" si="27">IF(ISBLANK(F20),0,1)</f>
        <v>0</v>
      </c>
      <c r="V20" s="23">
        <f t="shared" ref="V20:V21" si="28">IF(ISBLANK(G20),0,1)</f>
        <v>0</v>
      </c>
      <c r="W20" s="24"/>
      <c r="X20" s="24">
        <f t="shared" ref="X20:X21" si="29">IF(_xlfn.ISFORMULA(D20),1,0)</f>
        <v>0</v>
      </c>
      <c r="Y20" s="24">
        <f t="shared" ref="Y20:Y21" si="30">IF(_xlfn.ISFORMULA(E20),1,0)</f>
        <v>1</v>
      </c>
      <c r="Z20" s="24">
        <f t="shared" ref="Z20:Z21" si="31">IF(_xlfn.ISFORMULA(F20),1,0)</f>
        <v>0</v>
      </c>
      <c r="AA20" s="24">
        <f t="shared" ref="AA20:AA21" si="32">IF(_xlfn.ISFORMULA(G20),1,0)</f>
        <v>0</v>
      </c>
      <c r="AB20" s="25"/>
      <c r="AC20" s="25"/>
      <c r="AD20" s="25"/>
      <c r="AE20" s="25"/>
      <c r="AF20" s="25"/>
      <c r="AI20" s="3"/>
      <c r="AJ20" s="26"/>
      <c r="AK20" s="57"/>
      <c r="AL20" s="57">
        <f>+(E9+E19)/CM_per</f>
        <v>2000</v>
      </c>
      <c r="AP20" s="26"/>
      <c r="AR20" s="27" t="s">
        <v>19</v>
      </c>
      <c r="AS20" s="53">
        <f t="shared" si="10"/>
        <v>330</v>
      </c>
      <c r="AT20" s="53">
        <f t="shared" si="11"/>
        <v>231</v>
      </c>
      <c r="AU20" s="54">
        <f t="shared" si="12"/>
        <v>207900</v>
      </c>
      <c r="AV20" s="54">
        <f t="shared" si="3"/>
        <v>148500</v>
      </c>
      <c r="AW20" s="47">
        <f t="shared" si="14"/>
        <v>0.3</v>
      </c>
      <c r="AX20" s="53">
        <f t="shared" si="4"/>
        <v>99</v>
      </c>
      <c r="AY20" s="4">
        <f t="shared" si="13"/>
        <v>3000</v>
      </c>
      <c r="AZ20" s="54">
        <f t="shared" si="5"/>
        <v>89100</v>
      </c>
      <c r="BA20" s="41">
        <f t="shared" si="6"/>
        <v>2100</v>
      </c>
      <c r="BB20" s="54">
        <f t="shared" si="7"/>
        <v>693000</v>
      </c>
      <c r="BC20" s="41">
        <f t="shared" si="8"/>
        <v>3600</v>
      </c>
      <c r="BD20" s="54">
        <f t="shared" si="9"/>
        <v>1188000</v>
      </c>
      <c r="BJ20" s="48"/>
      <c r="BK20" s="48"/>
      <c r="BR20" s="32"/>
      <c r="BS20" s="32"/>
      <c r="BT20" s="32"/>
      <c r="BU20" s="32"/>
      <c r="BV20" s="32"/>
      <c r="BW20" s="32"/>
      <c r="BX20" s="32"/>
      <c r="BY20" s="32"/>
      <c r="BZ20" s="32"/>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2"/>
      <c r="CZ20" s="32"/>
      <c r="DA20" s="32"/>
      <c r="DB20" s="32"/>
      <c r="DC20" s="32"/>
      <c r="DD20" s="32"/>
      <c r="DE20" s="32"/>
    </row>
    <row r="21" spans="2:109" ht="13.9" thickBot="1" x14ac:dyDescent="0.4">
      <c r="B21" s="31" t="str">
        <f>CONCATENATE("Sales (dollars) to achieve targeted  income of ",DOLLAR(E19,0))</f>
        <v>Sales (dollars) to achieve targeted  income of $56,000</v>
      </c>
      <c r="C21" s="33"/>
      <c r="D21" s="34"/>
      <c r="E21" s="51">
        <f>+(E9+E19)/((D6-D7)/D6)</f>
        <v>400000</v>
      </c>
      <c r="F21" s="45"/>
      <c r="G21" s="34"/>
      <c r="K21" s="2">
        <f t="shared" si="21"/>
        <v>0</v>
      </c>
      <c r="L21" s="2">
        <f t="shared" si="22"/>
        <v>1</v>
      </c>
      <c r="N21" s="2"/>
      <c r="P21" s="4">
        <f t="shared" si="23"/>
        <v>1</v>
      </c>
      <c r="Q21" s="3">
        <f t="shared" si="24"/>
        <v>1</v>
      </c>
      <c r="R21" s="23"/>
      <c r="S21" s="23">
        <f t="shared" si="25"/>
        <v>0</v>
      </c>
      <c r="T21" s="23">
        <f t="shared" si="26"/>
        <v>1</v>
      </c>
      <c r="U21" s="23">
        <f t="shared" si="27"/>
        <v>0</v>
      </c>
      <c r="V21" s="23">
        <f t="shared" si="28"/>
        <v>0</v>
      </c>
      <c r="W21" s="24"/>
      <c r="X21" s="24">
        <f t="shared" si="29"/>
        <v>0</v>
      </c>
      <c r="Y21" s="24">
        <f t="shared" si="30"/>
        <v>1</v>
      </c>
      <c r="Z21" s="24">
        <f t="shared" si="31"/>
        <v>0</v>
      </c>
      <c r="AA21" s="24">
        <f t="shared" si="32"/>
        <v>0</v>
      </c>
      <c r="AB21" s="25"/>
      <c r="AC21" s="25"/>
      <c r="AD21" s="25"/>
      <c r="AE21" s="25"/>
      <c r="AF21" s="25"/>
      <c r="AI21" s="3"/>
      <c r="AJ21" s="26"/>
      <c r="AK21" s="57"/>
      <c r="AL21" s="57">
        <f>+AL20*Sell___per</f>
        <v>400000</v>
      </c>
      <c r="AM21" s="26"/>
      <c r="AN21" s="26"/>
      <c r="AR21" s="4" t="s">
        <v>20</v>
      </c>
      <c r="AS21" s="53">
        <f t="shared" si="10"/>
        <v>340</v>
      </c>
      <c r="AT21" s="53">
        <f t="shared" si="11"/>
        <v>221</v>
      </c>
      <c r="AU21" s="54">
        <f t="shared" si="12"/>
        <v>261799.99999999997</v>
      </c>
      <c r="AV21" s="54">
        <f t="shared" si="3"/>
        <v>178499.99999999997</v>
      </c>
      <c r="AW21" s="47">
        <f t="shared" si="14"/>
        <v>0.35</v>
      </c>
      <c r="AX21" s="53">
        <f t="shared" si="4"/>
        <v>118.99999999999999</v>
      </c>
      <c r="AY21" s="4">
        <f t="shared" si="13"/>
        <v>3100</v>
      </c>
      <c r="AZ21" s="54">
        <f t="shared" si="5"/>
        <v>107099.99999999997</v>
      </c>
      <c r="BA21" s="41">
        <f t="shared" si="6"/>
        <v>2200</v>
      </c>
      <c r="BB21" s="54">
        <f t="shared" si="7"/>
        <v>748000</v>
      </c>
      <c r="BC21" s="41">
        <f t="shared" si="8"/>
        <v>3700</v>
      </c>
      <c r="BD21" s="54">
        <f t="shared" si="9"/>
        <v>1258000</v>
      </c>
      <c r="BJ21" s="48"/>
      <c r="BK21" s="48"/>
      <c r="BR21" s="32"/>
      <c r="BS21" s="32"/>
      <c r="BT21" s="32"/>
      <c r="BU21" s="32"/>
      <c r="BV21" s="32"/>
      <c r="BW21" s="32"/>
      <c r="BX21" s="32"/>
      <c r="BY21" s="32"/>
      <c r="BZ21" s="32"/>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row>
    <row r="22" spans="2:109" ht="14.25" customHeight="1" thickTop="1" x14ac:dyDescent="0.35">
      <c r="AR22" s="4" t="s">
        <v>21</v>
      </c>
      <c r="AS22" s="53">
        <f t="shared" si="10"/>
        <v>350</v>
      </c>
      <c r="AT22" s="53">
        <f t="shared" si="11"/>
        <v>210</v>
      </c>
      <c r="AU22" s="54">
        <f t="shared" si="12"/>
        <v>308000</v>
      </c>
      <c r="AV22" s="54">
        <f t="shared" si="3"/>
        <v>224000</v>
      </c>
      <c r="AW22" s="47">
        <f t="shared" si="14"/>
        <v>0.4</v>
      </c>
      <c r="AX22" s="53">
        <f t="shared" si="4"/>
        <v>140</v>
      </c>
      <c r="AY22" s="4">
        <f t="shared" si="13"/>
        <v>3200</v>
      </c>
      <c r="AZ22" s="54">
        <f t="shared" si="5"/>
        <v>140000</v>
      </c>
      <c r="BA22" s="41">
        <f t="shared" si="6"/>
        <v>2200</v>
      </c>
      <c r="BB22" s="54">
        <f t="shared" si="7"/>
        <v>770000</v>
      </c>
      <c r="BC22" s="41">
        <f t="shared" si="8"/>
        <v>3800</v>
      </c>
      <c r="BD22" s="54">
        <f t="shared" si="9"/>
        <v>1330000</v>
      </c>
      <c r="BJ22" s="48"/>
      <c r="BK22" s="48"/>
      <c r="BR22" s="32"/>
      <c r="BS22" s="32"/>
      <c r="BT22" s="32"/>
      <c r="BU22" s="32"/>
      <c r="BV22" s="32"/>
      <c r="BW22" s="32"/>
      <c r="BX22" s="32"/>
      <c r="BY22" s="32"/>
      <c r="BZ22" s="32"/>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2"/>
      <c r="CZ22" s="32"/>
      <c r="DA22" s="32"/>
      <c r="DB22" s="32"/>
      <c r="DC22" s="32"/>
      <c r="DD22" s="32"/>
      <c r="DE22" s="32"/>
    </row>
    <row r="23" spans="2:109" ht="14.25" customHeight="1" x14ac:dyDescent="0.35">
      <c r="L23" s="2">
        <f>SUM(J15:L22)</f>
        <v>4</v>
      </c>
      <c r="P23" s="4">
        <f>SUM(P15:P22)</f>
        <v>4</v>
      </c>
      <c r="Q23" s="4">
        <f>SUM(Q15:Q22)</f>
        <v>4</v>
      </c>
      <c r="R23" s="28"/>
      <c r="S23" s="28"/>
      <c r="T23" s="28"/>
      <c r="U23" s="28"/>
      <c r="V23" s="28">
        <f>SUM(V15:V15)+SUM(R15:V22)</f>
        <v>4</v>
      </c>
      <c r="W23" s="29"/>
      <c r="X23" s="29"/>
      <c r="Y23" s="29"/>
      <c r="Z23" s="29"/>
      <c r="AA23" s="29">
        <f>SUM(AA15:AA15)+SUM(W15:AA22)</f>
        <v>4</v>
      </c>
      <c r="AB23" s="30"/>
      <c r="AC23" s="30"/>
      <c r="AD23" s="30"/>
      <c r="AE23" s="30"/>
      <c r="AF23" s="30">
        <f>SUM(AB15:AF22)</f>
        <v>0</v>
      </c>
      <c r="AG23" s="29">
        <f>SUM(AG15:AG22)</f>
        <v>0</v>
      </c>
      <c r="AR23" s="4" t="s">
        <v>22</v>
      </c>
      <c r="AS23" s="53">
        <f t="shared" si="10"/>
        <v>360</v>
      </c>
      <c r="AT23" s="53">
        <f t="shared" si="11"/>
        <v>198</v>
      </c>
      <c r="AU23" s="54">
        <f t="shared" si="12"/>
        <v>372600</v>
      </c>
      <c r="AV23" s="54">
        <f t="shared" si="3"/>
        <v>275400</v>
      </c>
      <c r="AW23" s="47">
        <f t="shared" si="14"/>
        <v>0.45</v>
      </c>
      <c r="AX23" s="53">
        <f t="shared" si="4"/>
        <v>162</v>
      </c>
      <c r="AY23" s="4">
        <f t="shared" si="13"/>
        <v>3300</v>
      </c>
      <c r="AZ23" s="54">
        <f t="shared" si="5"/>
        <v>162000</v>
      </c>
      <c r="BA23" s="41">
        <f t="shared" si="6"/>
        <v>2300</v>
      </c>
      <c r="BB23" s="54">
        <f t="shared" si="7"/>
        <v>828000</v>
      </c>
      <c r="BC23" s="41">
        <f t="shared" si="8"/>
        <v>4000</v>
      </c>
      <c r="BD23" s="54">
        <f t="shared" si="9"/>
        <v>1440000</v>
      </c>
      <c r="BJ23" s="48"/>
      <c r="BK23" s="48"/>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row>
    <row r="24" spans="2:109" x14ac:dyDescent="0.35">
      <c r="AR24" s="4" t="s">
        <v>23</v>
      </c>
      <c r="AS24" s="53">
        <f t="shared" si="10"/>
        <v>370</v>
      </c>
      <c r="AT24" s="53">
        <f t="shared" si="11"/>
        <v>166.49999999999997</v>
      </c>
      <c r="AU24" s="54">
        <f t="shared" si="12"/>
        <v>488400.00000000006</v>
      </c>
      <c r="AV24" s="54">
        <f t="shared" si="3"/>
        <v>345950.00000000006</v>
      </c>
      <c r="AW24" s="47">
        <f t="shared" si="14"/>
        <v>0.55000000000000004</v>
      </c>
      <c r="AX24" s="53">
        <f t="shared" si="4"/>
        <v>203.50000000000003</v>
      </c>
      <c r="AY24" s="4">
        <f t="shared" si="13"/>
        <v>3400</v>
      </c>
      <c r="AZ24" s="54">
        <f t="shared" si="5"/>
        <v>203500.00000000006</v>
      </c>
      <c r="BA24" s="41">
        <f t="shared" si="6"/>
        <v>2400</v>
      </c>
      <c r="BB24" s="54">
        <f t="shared" si="7"/>
        <v>888000</v>
      </c>
      <c r="BC24" s="41">
        <f t="shared" si="8"/>
        <v>4100</v>
      </c>
      <c r="BD24" s="54">
        <f t="shared" si="9"/>
        <v>1517000</v>
      </c>
      <c r="BJ24" s="48"/>
      <c r="BK24" s="48"/>
      <c r="BR24" s="32"/>
      <c r="BS24" s="32"/>
      <c r="BT24" s="32"/>
      <c r="BU24" s="32"/>
      <c r="BV24" s="32"/>
      <c r="BW24" s="32"/>
      <c r="BX24" s="32"/>
      <c r="BY24" s="32"/>
      <c r="BZ24" s="32"/>
      <c r="CA24" s="32"/>
      <c r="CB24" s="32"/>
      <c r="CC24" s="32"/>
      <c r="CD24" s="32"/>
      <c r="CE24" s="32"/>
      <c r="CF24" s="32"/>
      <c r="CG24" s="32"/>
      <c r="CH24" s="32"/>
      <c r="CI24" s="32"/>
      <c r="CJ24" s="32"/>
      <c r="CK24" s="32"/>
      <c r="CL24" s="32"/>
      <c r="CM24" s="32"/>
      <c r="CN24" s="32"/>
      <c r="CO24" s="32"/>
      <c r="CP24" s="32"/>
      <c r="CQ24" s="32"/>
      <c r="CR24" s="32"/>
      <c r="CS24" s="32"/>
      <c r="CT24" s="32"/>
      <c r="CU24" s="32"/>
      <c r="CV24" s="32"/>
      <c r="CW24" s="32"/>
      <c r="CX24" s="32"/>
      <c r="CY24" s="32"/>
      <c r="CZ24" s="32"/>
      <c r="DA24" s="32"/>
      <c r="DB24" s="32"/>
      <c r="DC24" s="32"/>
      <c r="DD24" s="32"/>
      <c r="DE24" s="32"/>
    </row>
    <row r="25" spans="2:109" x14ac:dyDescent="0.35">
      <c r="AR25" s="1" t="s">
        <v>24</v>
      </c>
      <c r="AS25" s="53">
        <f t="shared" si="10"/>
        <v>380</v>
      </c>
      <c r="AT25" s="53">
        <f t="shared" si="11"/>
        <v>152</v>
      </c>
      <c r="AU25" s="54">
        <f t="shared" si="12"/>
        <v>570000</v>
      </c>
      <c r="AV25" s="54">
        <f t="shared" si="3"/>
        <v>387600</v>
      </c>
      <c r="AW25" s="47">
        <f t="shared" si="14"/>
        <v>0.6</v>
      </c>
      <c r="AX25" s="53">
        <f t="shared" si="4"/>
        <v>228</v>
      </c>
      <c r="AY25" s="4">
        <f t="shared" si="13"/>
        <v>3500</v>
      </c>
      <c r="AZ25" s="54">
        <f t="shared" si="5"/>
        <v>228000</v>
      </c>
      <c r="BA25" s="41">
        <f t="shared" si="6"/>
        <v>2500</v>
      </c>
      <c r="BB25" s="54">
        <f t="shared" si="7"/>
        <v>950000</v>
      </c>
      <c r="BC25" s="41">
        <f t="shared" si="8"/>
        <v>4200</v>
      </c>
      <c r="BD25" s="54">
        <f t="shared" si="9"/>
        <v>1596000</v>
      </c>
      <c r="BJ25" s="48"/>
      <c r="BK25" s="48"/>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2"/>
      <c r="CZ25" s="32"/>
      <c r="DA25" s="32"/>
      <c r="DB25" s="32"/>
      <c r="DC25" s="32"/>
      <c r="DD25" s="32"/>
      <c r="DE25" s="32"/>
    </row>
    <row r="26" spans="2:109" x14ac:dyDescent="0.35">
      <c r="AR26" s="1" t="s">
        <v>25</v>
      </c>
      <c r="AS26" s="53">
        <f t="shared" si="10"/>
        <v>390</v>
      </c>
      <c r="AT26" s="53">
        <f t="shared" si="11"/>
        <v>292.5</v>
      </c>
      <c r="AU26" s="54">
        <f t="shared" si="12"/>
        <v>243750</v>
      </c>
      <c r="AV26" s="54">
        <f t="shared" si="3"/>
        <v>175500</v>
      </c>
      <c r="AW26" s="47">
        <f t="shared" si="14"/>
        <v>0.25</v>
      </c>
      <c r="AX26" s="53">
        <f t="shared" si="4"/>
        <v>97.5</v>
      </c>
      <c r="AY26" s="4">
        <f t="shared" si="13"/>
        <v>3600</v>
      </c>
      <c r="AZ26" s="54">
        <f t="shared" si="5"/>
        <v>107250</v>
      </c>
      <c r="BA26" s="41">
        <f t="shared" si="6"/>
        <v>2500</v>
      </c>
      <c r="BB26" s="54">
        <f t="shared" si="7"/>
        <v>975000</v>
      </c>
      <c r="BC26" s="41">
        <f t="shared" si="8"/>
        <v>4300</v>
      </c>
      <c r="BD26" s="54">
        <f t="shared" si="9"/>
        <v>1677000</v>
      </c>
      <c r="BJ26" s="48"/>
      <c r="BK26" s="48"/>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32"/>
      <c r="DC26" s="32"/>
      <c r="DD26" s="32"/>
      <c r="DE26" s="32"/>
    </row>
    <row r="27" spans="2:109" ht="14.25" customHeight="1" x14ac:dyDescent="0.35">
      <c r="AR27" s="1" t="s">
        <v>26</v>
      </c>
      <c r="AS27" s="53">
        <f t="shared" si="10"/>
        <v>400</v>
      </c>
      <c r="AT27" s="53">
        <f t="shared" si="11"/>
        <v>280</v>
      </c>
      <c r="AU27" s="54">
        <f t="shared" si="12"/>
        <v>312000</v>
      </c>
      <c r="AV27" s="54">
        <f t="shared" si="3"/>
        <v>216000</v>
      </c>
      <c r="AW27" s="47">
        <f t="shared" si="14"/>
        <v>0.3</v>
      </c>
      <c r="AX27" s="53">
        <f t="shared" si="4"/>
        <v>120</v>
      </c>
      <c r="AY27" s="4">
        <f t="shared" si="13"/>
        <v>3700</v>
      </c>
      <c r="AZ27" s="54">
        <f t="shared" si="5"/>
        <v>132000</v>
      </c>
      <c r="BA27" s="41">
        <f t="shared" si="6"/>
        <v>2600</v>
      </c>
      <c r="BB27" s="54">
        <f t="shared" si="7"/>
        <v>1040000</v>
      </c>
      <c r="BC27" s="41">
        <f t="shared" si="8"/>
        <v>4400</v>
      </c>
      <c r="BD27" s="54">
        <f t="shared" si="9"/>
        <v>1760000</v>
      </c>
      <c r="BJ27" s="48"/>
      <c r="BK27" s="48"/>
      <c r="BR27" s="32"/>
      <c r="BS27" s="32"/>
      <c r="BT27" s="32"/>
      <c r="BU27" s="32"/>
      <c r="BV27" s="32"/>
      <c r="BW27" s="32"/>
      <c r="BX27" s="32"/>
      <c r="BY27" s="32"/>
      <c r="BZ27" s="32"/>
      <c r="CA27" s="32"/>
      <c r="CB27" s="32"/>
      <c r="CC27" s="32"/>
      <c r="CD27" s="32"/>
      <c r="CE27" s="32"/>
      <c r="CF27" s="32"/>
      <c r="CG27" s="32"/>
      <c r="CH27" s="32"/>
      <c r="CI27" s="32"/>
      <c r="CJ27" s="32"/>
      <c r="CK27" s="32"/>
      <c r="CL27" s="32"/>
      <c r="CM27" s="32"/>
      <c r="CN27" s="32"/>
      <c r="CO27" s="32"/>
      <c r="CP27" s="32"/>
      <c r="CQ27" s="32"/>
      <c r="CR27" s="32"/>
      <c r="CS27" s="32"/>
      <c r="CT27" s="32"/>
      <c r="CU27" s="32"/>
      <c r="CV27" s="32"/>
      <c r="CW27" s="32"/>
      <c r="CX27" s="32"/>
      <c r="CY27" s="32"/>
      <c r="CZ27" s="32"/>
      <c r="DA27" s="32"/>
      <c r="DB27" s="32"/>
      <c r="DC27" s="32"/>
      <c r="DD27" s="32"/>
      <c r="DE27" s="32"/>
    </row>
    <row r="28" spans="2:109" ht="14.25" customHeight="1" x14ac:dyDescent="0.35">
      <c r="AR28" s="1" t="s">
        <v>27</v>
      </c>
      <c r="AS28" s="53">
        <f t="shared" si="10"/>
        <v>410</v>
      </c>
      <c r="AT28" s="53">
        <f t="shared" si="11"/>
        <v>266.5</v>
      </c>
      <c r="AU28" s="54">
        <f t="shared" si="12"/>
        <v>387450</v>
      </c>
      <c r="AV28" s="54">
        <f t="shared" si="3"/>
        <v>272650</v>
      </c>
      <c r="AW28" s="47">
        <f t="shared" si="14"/>
        <v>0.35</v>
      </c>
      <c r="AX28" s="53">
        <f t="shared" si="4"/>
        <v>143.5</v>
      </c>
      <c r="AY28" s="4">
        <f t="shared" si="13"/>
        <v>3800</v>
      </c>
      <c r="AZ28" s="54">
        <f t="shared" si="5"/>
        <v>157850</v>
      </c>
      <c r="BA28" s="41">
        <f t="shared" si="6"/>
        <v>2700</v>
      </c>
      <c r="BB28" s="54">
        <f t="shared" si="7"/>
        <v>1107000</v>
      </c>
      <c r="BC28" s="41">
        <f t="shared" si="8"/>
        <v>4600</v>
      </c>
      <c r="BD28" s="54">
        <f t="shared" si="9"/>
        <v>1886000</v>
      </c>
      <c r="BJ28" s="48"/>
      <c r="BK28" s="48"/>
      <c r="BR28" s="32"/>
      <c r="BS28" s="32"/>
      <c r="BT28" s="32"/>
      <c r="BU28" s="32"/>
      <c r="BV28" s="32"/>
      <c r="BW28" s="32"/>
      <c r="BX28" s="32"/>
      <c r="BY28" s="32"/>
      <c r="BZ28" s="32"/>
      <c r="CA28" s="32"/>
      <c r="CB28" s="32"/>
      <c r="CC28" s="32"/>
      <c r="CD28" s="32"/>
      <c r="CE28" s="32"/>
      <c r="CF28" s="32"/>
      <c r="CG28" s="32"/>
      <c r="CH28" s="32"/>
      <c r="CI28" s="32"/>
      <c r="CJ28" s="32"/>
      <c r="CK28" s="32"/>
      <c r="CL28" s="32"/>
      <c r="CM28" s="32"/>
      <c r="CN28" s="32"/>
      <c r="CO28" s="32"/>
      <c r="CP28" s="32"/>
      <c r="CQ28" s="32"/>
      <c r="CR28" s="32"/>
      <c r="CS28" s="32"/>
      <c r="CT28" s="32"/>
      <c r="CU28" s="32"/>
      <c r="CV28" s="32"/>
      <c r="CW28" s="32"/>
      <c r="CX28" s="32"/>
      <c r="CY28" s="32"/>
      <c r="CZ28" s="32"/>
      <c r="DA28" s="32"/>
      <c r="DB28" s="32"/>
      <c r="DC28" s="32"/>
      <c r="DD28" s="32"/>
      <c r="DE28" s="32"/>
    </row>
    <row r="29" spans="2:109" x14ac:dyDescent="0.35">
      <c r="AR29" s="4" t="s">
        <v>28</v>
      </c>
      <c r="AS29" s="53">
        <f t="shared" si="10"/>
        <v>420</v>
      </c>
      <c r="AT29" s="53">
        <f t="shared" si="11"/>
        <v>252</v>
      </c>
      <c r="AU29" s="54">
        <f t="shared" si="12"/>
        <v>453600</v>
      </c>
      <c r="AV29" s="54">
        <f t="shared" si="3"/>
        <v>336000</v>
      </c>
      <c r="AW29" s="47">
        <f t="shared" si="14"/>
        <v>0.4</v>
      </c>
      <c r="AX29" s="53">
        <f t="shared" si="4"/>
        <v>168</v>
      </c>
      <c r="AY29" s="4">
        <f t="shared" si="13"/>
        <v>3900</v>
      </c>
      <c r="AZ29" s="54">
        <f t="shared" si="5"/>
        <v>201600</v>
      </c>
      <c r="BA29" s="41">
        <f t="shared" si="6"/>
        <v>2700</v>
      </c>
      <c r="BB29" s="54">
        <f t="shared" si="7"/>
        <v>1134000</v>
      </c>
      <c r="BC29" s="41">
        <f t="shared" si="8"/>
        <v>4700</v>
      </c>
      <c r="BD29" s="54">
        <f t="shared" si="9"/>
        <v>1974000</v>
      </c>
      <c r="BJ29" s="48"/>
      <c r="BK29" s="48"/>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row>
    <row r="30" spans="2:109" x14ac:dyDescent="0.35">
      <c r="AR30" s="4" t="s">
        <v>29</v>
      </c>
      <c r="AS30" s="53">
        <f t="shared" si="10"/>
        <v>430</v>
      </c>
      <c r="AT30" s="53">
        <f t="shared" si="11"/>
        <v>236.5</v>
      </c>
      <c r="AU30" s="54">
        <f t="shared" si="12"/>
        <v>541800</v>
      </c>
      <c r="AV30" s="54">
        <f t="shared" si="3"/>
        <v>387000</v>
      </c>
      <c r="AW30" s="47">
        <f t="shared" si="14"/>
        <v>0.45</v>
      </c>
      <c r="AX30" s="53">
        <f t="shared" si="4"/>
        <v>193.5</v>
      </c>
      <c r="AY30" s="4">
        <f t="shared" si="13"/>
        <v>4000</v>
      </c>
      <c r="AZ30" s="54">
        <f t="shared" si="5"/>
        <v>232200</v>
      </c>
      <c r="BA30" s="41">
        <f t="shared" si="6"/>
        <v>2800</v>
      </c>
      <c r="BB30" s="54">
        <f t="shared" si="7"/>
        <v>1204000</v>
      </c>
      <c r="BC30" s="41">
        <f t="shared" si="8"/>
        <v>4800</v>
      </c>
      <c r="BD30" s="54">
        <f t="shared" si="9"/>
        <v>2064000</v>
      </c>
      <c r="BJ30" s="48"/>
      <c r="BK30" s="48"/>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32"/>
      <c r="CS30" s="32"/>
      <c r="CT30" s="32"/>
      <c r="CU30" s="32"/>
      <c r="CV30" s="32"/>
      <c r="CW30" s="32"/>
      <c r="CX30" s="32"/>
      <c r="CY30" s="32"/>
      <c r="CZ30" s="32"/>
      <c r="DA30" s="32"/>
      <c r="DB30" s="32"/>
      <c r="DC30" s="32"/>
      <c r="DD30" s="32"/>
      <c r="DE30" s="32"/>
    </row>
    <row r="31" spans="2:109" x14ac:dyDescent="0.35">
      <c r="AR31" s="4" t="s">
        <v>30</v>
      </c>
      <c r="AS31" s="53">
        <f t="shared" si="10"/>
        <v>440</v>
      </c>
      <c r="AT31" s="53">
        <f t="shared" si="11"/>
        <v>197.99999999999997</v>
      </c>
      <c r="AU31" s="54">
        <f t="shared" si="12"/>
        <v>701800.00000000012</v>
      </c>
      <c r="AV31" s="54">
        <f t="shared" si="3"/>
        <v>484000.00000000012</v>
      </c>
      <c r="AW31" s="47">
        <f t="shared" si="14"/>
        <v>0.55000000000000004</v>
      </c>
      <c r="AX31" s="53">
        <f t="shared" si="4"/>
        <v>242.00000000000003</v>
      </c>
      <c r="AY31" s="4">
        <f t="shared" si="13"/>
        <v>4100</v>
      </c>
      <c r="AZ31" s="54">
        <f t="shared" si="5"/>
        <v>290400</v>
      </c>
      <c r="BA31" s="41">
        <f t="shared" si="6"/>
        <v>2900</v>
      </c>
      <c r="BB31" s="54">
        <f t="shared" si="7"/>
        <v>1276000</v>
      </c>
      <c r="BC31" s="41">
        <f t="shared" si="8"/>
        <v>4900</v>
      </c>
      <c r="BD31" s="54">
        <f t="shared" si="9"/>
        <v>2156000</v>
      </c>
      <c r="BJ31" s="48"/>
      <c r="BK31" s="48"/>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2"/>
      <c r="CZ31" s="32"/>
      <c r="DA31" s="32"/>
      <c r="DB31" s="32"/>
      <c r="DC31" s="32"/>
      <c r="DD31" s="32"/>
      <c r="DE31" s="32"/>
    </row>
    <row r="32" spans="2:109" x14ac:dyDescent="0.35">
      <c r="AR32" s="4" t="s">
        <v>31</v>
      </c>
      <c r="AS32" s="53">
        <f t="shared" si="10"/>
        <v>450</v>
      </c>
      <c r="AT32" s="53">
        <f t="shared" si="11"/>
        <v>180</v>
      </c>
      <c r="AU32" s="54">
        <f t="shared" si="12"/>
        <v>783000</v>
      </c>
      <c r="AV32" s="54">
        <f t="shared" si="3"/>
        <v>567000</v>
      </c>
      <c r="AW32" s="47">
        <f t="shared" si="14"/>
        <v>0.6</v>
      </c>
      <c r="AX32" s="53">
        <f t="shared" si="4"/>
        <v>270</v>
      </c>
      <c r="AY32" s="4">
        <f t="shared" si="13"/>
        <v>4200</v>
      </c>
      <c r="AZ32" s="54">
        <f t="shared" si="5"/>
        <v>351000</v>
      </c>
      <c r="BA32" s="41">
        <f t="shared" si="6"/>
        <v>2900</v>
      </c>
      <c r="BB32" s="54">
        <f t="shared" si="7"/>
        <v>1305000</v>
      </c>
      <c r="BC32" s="41">
        <f t="shared" si="8"/>
        <v>5000</v>
      </c>
      <c r="BD32" s="54">
        <f t="shared" si="9"/>
        <v>2250000</v>
      </c>
      <c r="BJ32" s="48"/>
      <c r="BK32" s="48"/>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2"/>
      <c r="CZ32" s="32"/>
      <c r="DA32" s="32"/>
      <c r="DB32" s="32"/>
      <c r="DC32" s="32"/>
      <c r="DD32" s="32"/>
      <c r="DE32" s="32"/>
    </row>
    <row r="33" spans="43:109" x14ac:dyDescent="0.35">
      <c r="AR33" s="1" t="s">
        <v>42</v>
      </c>
      <c r="AS33" s="41">
        <v>0</v>
      </c>
      <c r="AT33" s="41">
        <v>0</v>
      </c>
      <c r="AU33" s="41">
        <f t="shared" ref="AU33:BJ33" si="33">+AT33+ROUND(AT33*0.18,-3)</f>
        <v>0</v>
      </c>
      <c r="AV33" s="41">
        <f t="shared" si="33"/>
        <v>0</v>
      </c>
      <c r="AW33" s="41">
        <f t="shared" si="33"/>
        <v>0</v>
      </c>
      <c r="AX33" s="41">
        <f t="shared" si="33"/>
        <v>0</v>
      </c>
      <c r="AY33" s="4">
        <f t="shared" si="33"/>
        <v>0</v>
      </c>
      <c r="AZ33" s="41">
        <f t="shared" si="33"/>
        <v>0</v>
      </c>
      <c r="BA33" s="41">
        <f t="shared" si="33"/>
        <v>0</v>
      </c>
      <c r="BB33" s="41">
        <f t="shared" si="33"/>
        <v>0</v>
      </c>
      <c r="BC33" s="41">
        <f t="shared" si="33"/>
        <v>0</v>
      </c>
      <c r="BD33" s="41">
        <f t="shared" si="33"/>
        <v>0</v>
      </c>
      <c r="BE33" s="41">
        <f t="shared" si="33"/>
        <v>0</v>
      </c>
      <c r="BF33" s="41">
        <f t="shared" si="33"/>
        <v>0</v>
      </c>
      <c r="BG33" s="41">
        <f t="shared" si="33"/>
        <v>0</v>
      </c>
      <c r="BH33" s="41">
        <f t="shared" si="33"/>
        <v>0</v>
      </c>
      <c r="BI33" s="41">
        <f t="shared" si="33"/>
        <v>0</v>
      </c>
      <c r="BJ33" s="41">
        <f t="shared" si="33"/>
        <v>0</v>
      </c>
      <c r="BK33" s="41">
        <f t="shared" ref="BK33:BQ33" si="34">+BJ33+ROUND(BJ33*0.18,-3)</f>
        <v>0</v>
      </c>
      <c r="BL33" s="41">
        <f t="shared" si="34"/>
        <v>0</v>
      </c>
      <c r="BM33" s="41">
        <f t="shared" si="34"/>
        <v>0</v>
      </c>
      <c r="BN33" s="41">
        <f t="shared" si="34"/>
        <v>0</v>
      </c>
      <c r="BO33" s="41">
        <f t="shared" si="34"/>
        <v>0</v>
      </c>
      <c r="BP33" s="41">
        <f t="shared" si="34"/>
        <v>0</v>
      </c>
      <c r="BQ33" s="41">
        <f t="shared" si="34"/>
        <v>0</v>
      </c>
      <c r="BR33" s="32">
        <v>0</v>
      </c>
      <c r="BS33" s="32">
        <v>0</v>
      </c>
      <c r="BT33" s="32">
        <f t="shared" ref="BT33:DE33" si="35">+BS33+ROUND(BS33*0.18,-3)</f>
        <v>0</v>
      </c>
      <c r="BU33" s="32">
        <f t="shared" si="35"/>
        <v>0</v>
      </c>
      <c r="BV33" s="32">
        <f t="shared" si="35"/>
        <v>0</v>
      </c>
      <c r="BW33" s="32">
        <f t="shared" si="35"/>
        <v>0</v>
      </c>
      <c r="BX33" s="32">
        <f t="shared" si="35"/>
        <v>0</v>
      </c>
      <c r="BY33" s="32">
        <f t="shared" si="35"/>
        <v>0</v>
      </c>
      <c r="BZ33" s="32">
        <f t="shared" si="35"/>
        <v>0</v>
      </c>
      <c r="CA33" s="32">
        <f t="shared" si="35"/>
        <v>0</v>
      </c>
      <c r="CB33" s="32">
        <f t="shared" si="35"/>
        <v>0</v>
      </c>
      <c r="CC33" s="32">
        <f t="shared" si="35"/>
        <v>0</v>
      </c>
      <c r="CD33" s="32">
        <f t="shared" si="35"/>
        <v>0</v>
      </c>
      <c r="CE33" s="32">
        <f t="shared" si="35"/>
        <v>0</v>
      </c>
      <c r="CF33" s="32">
        <f t="shared" si="35"/>
        <v>0</v>
      </c>
      <c r="CG33" s="32">
        <f t="shared" si="35"/>
        <v>0</v>
      </c>
      <c r="CH33" s="32">
        <f t="shared" si="35"/>
        <v>0</v>
      </c>
      <c r="CI33" s="32">
        <f t="shared" si="35"/>
        <v>0</v>
      </c>
      <c r="CJ33" s="32">
        <f t="shared" si="35"/>
        <v>0</v>
      </c>
      <c r="CK33" s="32">
        <f t="shared" si="35"/>
        <v>0</v>
      </c>
      <c r="CL33" s="32">
        <f t="shared" si="35"/>
        <v>0</v>
      </c>
      <c r="CM33" s="32">
        <f t="shared" si="35"/>
        <v>0</v>
      </c>
      <c r="CN33" s="32">
        <f t="shared" si="35"/>
        <v>0</v>
      </c>
      <c r="CO33" s="32">
        <f t="shared" si="35"/>
        <v>0</v>
      </c>
      <c r="CP33" s="32">
        <f t="shared" si="35"/>
        <v>0</v>
      </c>
      <c r="CQ33" s="32">
        <f t="shared" si="35"/>
        <v>0</v>
      </c>
      <c r="CR33" s="32">
        <f t="shared" si="35"/>
        <v>0</v>
      </c>
      <c r="CS33" s="32">
        <f t="shared" si="35"/>
        <v>0</v>
      </c>
      <c r="CT33" s="32">
        <f t="shared" si="35"/>
        <v>0</v>
      </c>
      <c r="CU33" s="32">
        <f t="shared" si="35"/>
        <v>0</v>
      </c>
      <c r="CV33" s="32">
        <f t="shared" si="35"/>
        <v>0</v>
      </c>
      <c r="CW33" s="32">
        <f t="shared" si="35"/>
        <v>0</v>
      </c>
      <c r="CX33" s="32">
        <f t="shared" si="35"/>
        <v>0</v>
      </c>
      <c r="CY33" s="32">
        <f t="shared" si="35"/>
        <v>0</v>
      </c>
      <c r="CZ33" s="32">
        <f t="shared" si="35"/>
        <v>0</v>
      </c>
      <c r="DA33" s="32">
        <f t="shared" si="35"/>
        <v>0</v>
      </c>
      <c r="DB33" s="32">
        <f t="shared" si="35"/>
        <v>0</v>
      </c>
      <c r="DC33" s="32">
        <f t="shared" si="35"/>
        <v>0</v>
      </c>
      <c r="DD33" s="32">
        <f t="shared" si="35"/>
        <v>0</v>
      </c>
      <c r="DE33" s="32">
        <f t="shared" si="35"/>
        <v>0</v>
      </c>
    </row>
    <row r="34" spans="43:109" ht="14.25" customHeight="1" x14ac:dyDescent="0.35"/>
    <row r="35" spans="43:109" ht="14.25" customHeight="1" x14ac:dyDescent="0.35"/>
    <row r="38" spans="43:109" ht="14.25" customHeight="1" x14ac:dyDescent="0.35"/>
    <row r="41" spans="43:109" x14ac:dyDescent="0.35">
      <c r="AQ41" s="26"/>
    </row>
    <row r="42" spans="43:109" x14ac:dyDescent="0.35">
      <c r="AQ42" s="26"/>
    </row>
    <row r="43" spans="43:109" x14ac:dyDescent="0.35">
      <c r="AQ43" s="26"/>
    </row>
    <row r="46" spans="43:109" x14ac:dyDescent="0.35">
      <c r="AQ46" s="26"/>
    </row>
    <row r="47" spans="43:109" x14ac:dyDescent="0.35">
      <c r="AQ47" s="26"/>
    </row>
    <row r="48" spans="43:109" x14ac:dyDescent="0.35">
      <c r="AQ48" s="26"/>
    </row>
    <row r="52" spans="43:43" x14ac:dyDescent="0.35">
      <c r="AQ52" s="26"/>
    </row>
    <row r="61" spans="43:43" ht="14.25" customHeight="1" x14ac:dyDescent="0.35"/>
  </sheetData>
  <sheetProtection sheet="1" objects="1" scenarios="1"/>
  <mergeCells count="7">
    <mergeCell ref="B12:G13"/>
    <mergeCell ref="R13:V13"/>
    <mergeCell ref="W13:AA13"/>
    <mergeCell ref="A1:B1"/>
    <mergeCell ref="C1:D1"/>
    <mergeCell ref="A3:G3"/>
    <mergeCell ref="J13:N13"/>
  </mergeCells>
  <conditionalFormatting sqref="K14:AF14 R13 I12:O12 AG12 AH13 I13 O13 AQ41:AQ43 AJ15:AN15 AM16:AN19 R15:AF16 AJ16:AL18 AP18:AP20 AN17:AO19 A10:A11">
    <cfRule type="expression" dxfId="49" priority="399">
      <formula>#REF!=0</formula>
    </cfRule>
  </conditionalFormatting>
  <conditionalFormatting sqref="F1:G1 I14:J15 I16 F2 I12:M12 I13 J15:N16">
    <cfRule type="expression" dxfId="48" priority="397">
      <formula>+#REF!=0</formula>
    </cfRule>
  </conditionalFormatting>
  <conditionalFormatting sqref="W13">
    <cfRule type="expression" dxfId="47" priority="354">
      <formula>#REF!=0</formula>
    </cfRule>
  </conditionalFormatting>
  <conditionalFormatting sqref="P23:V23 AQ41:AQ43 AQ52 AM16:AN19 M16:N16 AJ16:AL18 AJ20 AJ21:AN21 R19:AF21 M20:N21 AP18:AP20 AN17:AO19">
    <cfRule type="expression" dxfId="46" priority="346">
      <formula>#REF!=0</formula>
    </cfRule>
  </conditionalFormatting>
  <conditionalFormatting sqref="K14:M14 K15:K16 M16:N16 J16 I18:J21 K19:N19 K20:K21 M20:N21">
    <cfRule type="expression" dxfId="45" priority="345">
      <formula>+#REF!=0</formula>
    </cfRule>
  </conditionalFormatting>
  <conditionalFormatting sqref="I14:J14">
    <cfRule type="expression" dxfId="44" priority="344">
      <formula>#REF!=0</formula>
    </cfRule>
  </conditionalFormatting>
  <conditionalFormatting sqref="H16 H20:H21">
    <cfRule type="expression" dxfId="43" priority="339">
      <formula>+#REF!=0</formula>
    </cfRule>
  </conditionalFormatting>
  <conditionalFormatting sqref="W23:AF23">
    <cfRule type="expression" dxfId="42" priority="328">
      <formula>#REF!=0</formula>
    </cfRule>
  </conditionalFormatting>
  <conditionalFormatting sqref="M15">
    <cfRule type="expression" dxfId="41" priority="324">
      <formula>#REF!=0</formula>
    </cfRule>
  </conditionalFormatting>
  <conditionalFormatting sqref="M15">
    <cfRule type="expression" dxfId="40" priority="323">
      <formula>+#REF!=0</formula>
    </cfRule>
  </conditionalFormatting>
  <conditionalFormatting sqref="N15">
    <cfRule type="expression" dxfId="39" priority="322">
      <formula>#REF!=0</formula>
    </cfRule>
  </conditionalFormatting>
  <conditionalFormatting sqref="N15">
    <cfRule type="expression" dxfId="38" priority="321">
      <formula>+#REF!=0</formula>
    </cfRule>
  </conditionalFormatting>
  <conditionalFormatting sqref="AG23">
    <cfRule type="expression" dxfId="37" priority="243">
      <formula>#REF!=0</formula>
    </cfRule>
  </conditionalFormatting>
  <conditionalFormatting sqref="AK15:AN15">
    <cfRule type="expression" dxfId="36" priority="224">
      <formula>#REF!=0</formula>
    </cfRule>
  </conditionalFormatting>
  <conditionalFormatting sqref="E15:E16 E19:E21">
    <cfRule type="expression" dxfId="35" priority="221">
      <formula>OR(ISBLANK(E15),L15=1)</formula>
    </cfRule>
  </conditionalFormatting>
  <conditionalFormatting sqref="B12:I13 B23:G23 B14:E14 G15:G16 G19:G21 C19:C21 A4:I4 A5:B5 G5:I5 A6:I8 A9 F9:I9 B10:G11 B15:C16 E15:E16 E19:E21">
    <cfRule type="expression" dxfId="34" priority="217">
      <formula>+$AR$3="ZZ"</formula>
    </cfRule>
  </conditionalFormatting>
  <conditionalFormatting sqref="A3 H3:I3">
    <cfRule type="expression" dxfId="33" priority="216">
      <formula>+$AR$3="ZZ"</formula>
    </cfRule>
  </conditionalFormatting>
  <conditionalFormatting sqref="M16">
    <cfRule type="expression" dxfId="32" priority="214">
      <formula>#REF!=0</formula>
    </cfRule>
  </conditionalFormatting>
  <conditionalFormatting sqref="M16">
    <cfRule type="expression" dxfId="31" priority="213">
      <formula>+#REF!=0</formula>
    </cfRule>
  </conditionalFormatting>
  <conditionalFormatting sqref="G14">
    <cfRule type="expression" dxfId="30" priority="205">
      <formula>+$AR$3="ZZ"</formula>
    </cfRule>
  </conditionalFormatting>
  <conditionalFormatting sqref="AM16 AK21:AM21">
    <cfRule type="expression" dxfId="29" priority="204">
      <formula>#REF!=0</formula>
    </cfRule>
  </conditionalFormatting>
  <conditionalFormatting sqref="AM17 AK16:AL16">
    <cfRule type="expression" dxfId="28" priority="203">
      <formula>#REF!=0</formula>
    </cfRule>
  </conditionalFormatting>
  <conditionalFormatting sqref="AK17:AL17">
    <cfRule type="expression" dxfId="27" priority="202">
      <formula>#REF!=0</formula>
    </cfRule>
  </conditionalFormatting>
  <conditionalFormatting sqref="AK18:AL18">
    <cfRule type="expression" dxfId="26" priority="201">
      <formula>#REF!=0</formula>
    </cfRule>
  </conditionalFormatting>
  <conditionalFormatting sqref="K18:AF18">
    <cfRule type="expression" dxfId="25" priority="200">
      <formula>#REF!=0</formula>
    </cfRule>
  </conditionalFormatting>
  <conditionalFormatting sqref="J21:K21">
    <cfRule type="expression" dxfId="24" priority="199">
      <formula>+#REF!=0</formula>
    </cfRule>
  </conditionalFormatting>
  <conditionalFormatting sqref="K18:M18">
    <cfRule type="expression" dxfId="23" priority="198">
      <formula>+#REF!=0</formula>
    </cfRule>
  </conditionalFormatting>
  <conditionalFormatting sqref="I18:J18">
    <cfRule type="expression" dxfId="22" priority="197">
      <formula>#REF!=0</formula>
    </cfRule>
  </conditionalFormatting>
  <conditionalFormatting sqref="M19">
    <cfRule type="expression" dxfId="21" priority="192">
      <formula>#REF!=0</formula>
    </cfRule>
  </conditionalFormatting>
  <conditionalFormatting sqref="M19">
    <cfRule type="expression" dxfId="20" priority="191">
      <formula>+#REF!=0</formula>
    </cfRule>
  </conditionalFormatting>
  <conditionalFormatting sqref="N19">
    <cfRule type="expression" dxfId="19" priority="190">
      <formula>#REF!=0</formula>
    </cfRule>
  </conditionalFormatting>
  <conditionalFormatting sqref="N19">
    <cfRule type="expression" dxfId="18" priority="189">
      <formula>+#REF!=0</formula>
    </cfRule>
  </conditionalFormatting>
  <conditionalFormatting sqref="J21:K21">
    <cfRule type="expression" dxfId="17" priority="181">
      <formula>+#REF!=0</formula>
    </cfRule>
  </conditionalFormatting>
  <conditionalFormatting sqref="G18">
    <cfRule type="expression" dxfId="16" priority="168">
      <formula>+$AR$3="ZZ"</formula>
    </cfRule>
  </conditionalFormatting>
  <conditionalFormatting sqref="J13">
    <cfRule type="expression" dxfId="15" priority="119">
      <formula>#REF!=0</formula>
    </cfRule>
  </conditionalFormatting>
  <conditionalFormatting sqref="B18:C18 B19:B21 E19:E21">
    <cfRule type="expression" dxfId="14" priority="113">
      <formula>ISBLANK($C$1)</formula>
    </cfRule>
  </conditionalFormatting>
  <conditionalFormatting sqref="B9:E9">
    <cfRule type="expression" dxfId="13" priority="110">
      <formula>+$AR$3="ZZ"</formula>
    </cfRule>
  </conditionalFormatting>
  <conditionalFormatting sqref="D18:E18">
    <cfRule type="expression" dxfId="12" priority="103">
      <formula>+$AR$3="ZZ"</formula>
    </cfRule>
  </conditionalFormatting>
  <conditionalFormatting sqref="AQ46:AQ48">
    <cfRule type="expression" dxfId="11" priority="42">
      <formula>#REF!=0</formula>
    </cfRule>
  </conditionalFormatting>
  <conditionalFormatting sqref="AQ46:AQ48">
    <cfRule type="expression" dxfId="10" priority="41">
      <formula>#REF!=0</formula>
    </cfRule>
  </conditionalFormatting>
  <conditionalFormatting sqref="D15:D16">
    <cfRule type="expression" dxfId="9" priority="10">
      <formula>+$AR$3="ZZ"</formula>
    </cfRule>
  </conditionalFormatting>
  <conditionalFormatting sqref="R17:AF17 M17:N17">
    <cfRule type="expression" dxfId="8" priority="9">
      <formula>#REF!=0</formula>
    </cfRule>
  </conditionalFormatting>
  <conditionalFormatting sqref="I17:N17">
    <cfRule type="expression" dxfId="7" priority="8">
      <formula>+#REF!=0</formula>
    </cfRule>
  </conditionalFormatting>
  <conditionalFormatting sqref="H17">
    <cfRule type="expression" dxfId="6" priority="7">
      <formula>+#REF!=0</formula>
    </cfRule>
  </conditionalFormatting>
  <conditionalFormatting sqref="G17">
    <cfRule type="expression" dxfId="5" priority="6">
      <formula>+$AR$3="ZZ"</formula>
    </cfRule>
  </conditionalFormatting>
  <conditionalFormatting sqref="B17:F17">
    <cfRule type="expression" dxfId="4" priority="5">
      <formula>+$AR$3="ZZ"</formula>
    </cfRule>
  </conditionalFormatting>
  <conditionalFormatting sqref="D19:D20">
    <cfRule type="expression" dxfId="3" priority="4">
      <formula>+$AR$3="ZZ"</formula>
    </cfRule>
  </conditionalFormatting>
  <conditionalFormatting sqref="D21">
    <cfRule type="expression" dxfId="2" priority="3">
      <formula>+$AR$3="ZZ"</formula>
    </cfRule>
  </conditionalFormatting>
  <conditionalFormatting sqref="C5:F5">
    <cfRule type="expression" dxfId="1" priority="2">
      <formula>ISBLANK($C$1)</formula>
    </cfRule>
  </conditionalFormatting>
  <conditionalFormatting sqref="L20:L21">
    <cfRule type="expression" dxfId="0" priority="1">
      <formula>+#REF!=0</formula>
    </cfRule>
  </conditionalFormatting>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C3" sqref="C3"/>
    </sheetView>
  </sheetViews>
  <sheetFormatPr defaultRowHeight="14.25" x14ac:dyDescent="0.45"/>
  <cols>
    <col min="1" max="1" width="13.59765625" customWidth="1"/>
    <col min="2" max="2" width="17.86328125" customWidth="1"/>
    <col min="3" max="3" width="26" customWidth="1"/>
  </cols>
  <sheetData>
    <row r="1" spans="1:3" x14ac:dyDescent="0.45">
      <c r="A1" t="s">
        <v>2</v>
      </c>
      <c r="B1" t="s">
        <v>5</v>
      </c>
      <c r="C1" t="s">
        <v>4</v>
      </c>
    </row>
    <row r="2" spans="1:3" x14ac:dyDescent="0.45">
      <c r="A2" t="s">
        <v>3</v>
      </c>
      <c r="B2" s="6" t="e">
        <f ca="1">IF(ISBLANK(#REF!),"No entry",IF(_xlfn.ISFORMULA(#REF!),_xlfn.FORMULATEXT(#REF!),VALUE(#REF!)))</f>
        <v>#REF!</v>
      </c>
      <c r="C2" t="e">
        <f>IF(AND(_xlfn.ISFORMULA(#REF!),#REF!=1),"Correct",IF(_xlfn.ISFORMULA(#REF!),"This formula is incorrect","This is not a valid formula."))</f>
        <v>#REF!</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16</vt:i4>
      </vt:variant>
    </vt:vector>
  </HeadingPairs>
  <TitlesOfParts>
    <vt:vector size="19" baseType="lpstr">
      <vt:lpstr>Instructions</vt:lpstr>
      <vt:lpstr>CVP</vt:lpstr>
      <vt:lpstr>Sheet1</vt:lpstr>
      <vt:lpstr>BE</vt:lpstr>
      <vt:lpstr>BE_units</vt:lpstr>
      <vt:lpstr>CM_per</vt:lpstr>
      <vt:lpstr>CM_ratio</vt:lpstr>
      <vt:lpstr>Company</vt:lpstr>
      <vt:lpstr>Conv___EI</vt:lpstr>
      <vt:lpstr>Cost___per</vt:lpstr>
      <vt:lpstr>Current_units</vt:lpstr>
      <vt:lpstr>First</vt:lpstr>
      <vt:lpstr>Fixed</vt:lpstr>
      <vt:lpstr>Mtls___EI</vt:lpstr>
      <vt:lpstr>Net_Income</vt:lpstr>
      <vt:lpstr>Sell___per</vt:lpstr>
      <vt:lpstr>Target_Pre</vt:lpstr>
      <vt:lpstr>Target_Sales</vt:lpstr>
      <vt:lpstr>Target_units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Kitty</dc:creator>
  <cp:lastModifiedBy>Christina Bowins</cp:lastModifiedBy>
  <cp:lastPrinted>2017-06-02T05:55:21Z</cp:lastPrinted>
  <dcterms:created xsi:type="dcterms:W3CDTF">2017-06-02T04:36:57Z</dcterms:created>
  <dcterms:modified xsi:type="dcterms:W3CDTF">2023-04-15T15:02:11Z</dcterms:modified>
</cp:coreProperties>
</file>